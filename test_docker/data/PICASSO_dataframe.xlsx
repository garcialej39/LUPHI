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Y:\Shared_PFC-TFG-TFM\Activos\2025_2026\AlejandraGarcia\data\"/>
    </mc:Choice>
  </mc:AlternateContent>
  <xr:revisionPtr revIDLastSave="0" documentId="13_ncr:1_{438F7016-E9EA-4F03-92F0-DF79A4926775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Sheet1" sheetId="1" r:id="rId1"/>
    <sheet name="Hoja2" sheetId="3" r:id="rId2"/>
  </sheets>
  <definedNames>
    <definedName name="_xlchart.v1.0" hidden="1">Sheet1!$G$2:$G$361</definedName>
    <definedName name="_xlchart.v1.1" hidden="1">Hoja2!$J$20</definedName>
    <definedName name="_xlchart.v1.10" hidden="1">Hoja2!$J$20</definedName>
    <definedName name="_xlchart.v1.2" hidden="1">Hoja2!$C$4:$C$209</definedName>
    <definedName name="_xlchart.v1.3" hidden="1">Hoja2!$H$4:$H$209</definedName>
    <definedName name="_xlchart.v1.4" hidden="1">Hoja2!$J$20</definedName>
    <definedName name="_xlchart.v1.5" hidden="1">Hoja2!$C$4:$C$209</definedName>
    <definedName name="_xlchart.v1.6" hidden="1">Hoja2!$H$4:$H$209</definedName>
    <definedName name="_xlchart.v1.7" hidden="1">Hoja2!$J$20</definedName>
    <definedName name="_xlchart.v1.8" hidden="1">Hoja2!$C$4:$C$209</definedName>
    <definedName name="_xlchart.v1.9" hidden="1">Hoja2!$H$4:$H$209</definedName>
  </definedName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4" i="3"/>
  <c r="L17" i="3"/>
  <c r="R16" i="1"/>
  <c r="R15" i="1"/>
  <c r="L16" i="3"/>
  <c r="G4" i="3"/>
  <c r="K4" i="3"/>
  <c r="L14" i="3"/>
  <c r="R12" i="1"/>
  <c r="L13" i="3"/>
  <c r="R11" i="1"/>
  <c r="L12" i="3"/>
  <c r="R10" i="1"/>
  <c r="M9" i="3"/>
  <c r="M8" i="3"/>
  <c r="L9" i="3"/>
  <c r="L8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0" i="3"/>
  <c r="F21" i="3"/>
  <c r="F22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5" i="3"/>
  <c r="F6" i="3"/>
  <c r="F4" i="3"/>
  <c r="R7" i="1"/>
  <c r="S6" i="1"/>
  <c r="S7" i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4" i="3"/>
  <c r="L2" i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4" i="3"/>
  <c r="Q2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R76" i="1"/>
  <c r="R75" i="1"/>
  <c r="R74" i="1"/>
  <c r="R73" i="1"/>
  <c r="R7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R6" i="1" l="1"/>
</calcChain>
</file>

<file path=xl/sharedStrings.xml><?xml version="1.0" encoding="utf-8"?>
<sst xmlns="http://schemas.openxmlformats.org/spreadsheetml/2006/main" count="2054" uniqueCount="1324">
  <si>
    <t>PatID</t>
  </si>
  <si>
    <t>01_01</t>
  </si>
  <si>
    <t>01_02</t>
  </si>
  <si>
    <t>01_03</t>
  </si>
  <si>
    <t>01_04</t>
  </si>
  <si>
    <t>01_05</t>
  </si>
  <si>
    <t>01_06</t>
  </si>
  <si>
    <t>01_07</t>
  </si>
  <si>
    <t>01_08</t>
  </si>
  <si>
    <t>01_09</t>
  </si>
  <si>
    <t>01_10</t>
  </si>
  <si>
    <t>01_11</t>
  </si>
  <si>
    <t>01_12</t>
  </si>
  <si>
    <t>01_14</t>
  </si>
  <si>
    <t>01_15</t>
  </si>
  <si>
    <t>01_16</t>
  </si>
  <si>
    <t>01_17</t>
  </si>
  <si>
    <t>01_18</t>
  </si>
  <si>
    <t>01_19</t>
  </si>
  <si>
    <t>01_21</t>
  </si>
  <si>
    <t>01_22</t>
  </si>
  <si>
    <t>01_23</t>
  </si>
  <si>
    <t>01_24</t>
  </si>
  <si>
    <t>01_26</t>
  </si>
  <si>
    <t>01_27</t>
  </si>
  <si>
    <t>01_29</t>
  </si>
  <si>
    <t>01_30</t>
  </si>
  <si>
    <t>01_31</t>
  </si>
  <si>
    <t>01_32</t>
  </si>
  <si>
    <t>01_33</t>
  </si>
  <si>
    <t>01_34</t>
  </si>
  <si>
    <t>01_35</t>
  </si>
  <si>
    <t>01_36</t>
  </si>
  <si>
    <t>01_37</t>
  </si>
  <si>
    <t>01_38</t>
  </si>
  <si>
    <t>01_39</t>
  </si>
  <si>
    <t>01_40</t>
  </si>
  <si>
    <t>01_41</t>
  </si>
  <si>
    <t>01_42</t>
  </si>
  <si>
    <t>01_44</t>
  </si>
  <si>
    <t>01_45</t>
  </si>
  <si>
    <t>01_46</t>
  </si>
  <si>
    <t>01_47</t>
  </si>
  <si>
    <t>01_48</t>
  </si>
  <si>
    <t>01_49</t>
  </si>
  <si>
    <t>01_50</t>
  </si>
  <si>
    <t>01_52</t>
  </si>
  <si>
    <t>02_01</t>
  </si>
  <si>
    <t>02_02</t>
  </si>
  <si>
    <t>02_03</t>
  </si>
  <si>
    <t>02_04</t>
  </si>
  <si>
    <t>02_05</t>
  </si>
  <si>
    <t>02_06</t>
  </si>
  <si>
    <t>02_07</t>
  </si>
  <si>
    <t>02_08</t>
  </si>
  <si>
    <t>02_09</t>
  </si>
  <si>
    <t>02_11</t>
  </si>
  <si>
    <t>02_12</t>
  </si>
  <si>
    <t>02_13</t>
  </si>
  <si>
    <t>02_14</t>
  </si>
  <si>
    <t>02_15</t>
  </si>
  <si>
    <t>02_16</t>
  </si>
  <si>
    <t>02_17</t>
  </si>
  <si>
    <t>02_18</t>
  </si>
  <si>
    <t>02_19</t>
  </si>
  <si>
    <t>02_20</t>
  </si>
  <si>
    <t>02_21</t>
  </si>
  <si>
    <t>02_22</t>
  </si>
  <si>
    <t>02_23</t>
  </si>
  <si>
    <t>02_24</t>
  </si>
  <si>
    <t>02_25</t>
  </si>
  <si>
    <t>02_26</t>
  </si>
  <si>
    <t>02_27</t>
  </si>
  <si>
    <t>02_28</t>
  </si>
  <si>
    <t>02_29</t>
  </si>
  <si>
    <t>02_30</t>
  </si>
  <si>
    <t>02_31</t>
  </si>
  <si>
    <t>02_32</t>
  </si>
  <si>
    <t>02_33</t>
  </si>
  <si>
    <t>02_34</t>
  </si>
  <si>
    <t>02_35</t>
  </si>
  <si>
    <t>02_36</t>
  </si>
  <si>
    <t>02_37</t>
  </si>
  <si>
    <t>02_38</t>
  </si>
  <si>
    <t>02_39</t>
  </si>
  <si>
    <t>02_40</t>
  </si>
  <si>
    <t>02_42</t>
  </si>
  <si>
    <t>02_44</t>
  </si>
  <si>
    <t>02_45</t>
  </si>
  <si>
    <t>02_46</t>
  </si>
  <si>
    <t>03_01</t>
  </si>
  <si>
    <t>03_02</t>
  </si>
  <si>
    <t>03_03</t>
  </si>
  <si>
    <t>03_04</t>
  </si>
  <si>
    <t>03_05</t>
  </si>
  <si>
    <t>03_06</t>
  </si>
  <si>
    <t>03_07</t>
  </si>
  <si>
    <t>03_08</t>
  </si>
  <si>
    <t>03_09</t>
  </si>
  <si>
    <t>03_10</t>
  </si>
  <si>
    <t>03_11</t>
  </si>
  <si>
    <t>03_12</t>
  </si>
  <si>
    <t>03_13</t>
  </si>
  <si>
    <t>03_14</t>
  </si>
  <si>
    <t>03_15</t>
  </si>
  <si>
    <t>03_16</t>
  </si>
  <si>
    <t>03_17</t>
  </si>
  <si>
    <t>03_18</t>
  </si>
  <si>
    <t>03_19</t>
  </si>
  <si>
    <t>03_20</t>
  </si>
  <si>
    <t>04_01</t>
  </si>
  <si>
    <t>04_03</t>
  </si>
  <si>
    <t>04_05</t>
  </si>
  <si>
    <t>04_06</t>
  </si>
  <si>
    <t>04_07</t>
  </si>
  <si>
    <t>04_08</t>
  </si>
  <si>
    <t>04_09</t>
  </si>
  <si>
    <t>04_10</t>
  </si>
  <si>
    <t>04_11</t>
  </si>
  <si>
    <t>04_12</t>
  </si>
  <si>
    <t>04_13</t>
  </si>
  <si>
    <t>04_14</t>
  </si>
  <si>
    <t>04_15</t>
  </si>
  <si>
    <t>04_16</t>
  </si>
  <si>
    <t>04_17</t>
  </si>
  <si>
    <t>04_18</t>
  </si>
  <si>
    <t>04_19</t>
  </si>
  <si>
    <t>04_20</t>
  </si>
  <si>
    <t>04_21</t>
  </si>
  <si>
    <t>04_22</t>
  </si>
  <si>
    <t>04_23</t>
  </si>
  <si>
    <t>04_24</t>
  </si>
  <si>
    <t>04_25</t>
  </si>
  <si>
    <t>04_26</t>
  </si>
  <si>
    <t>04_27</t>
  </si>
  <si>
    <t>04_28</t>
  </si>
  <si>
    <t>07_01</t>
  </si>
  <si>
    <t>07_05</t>
  </si>
  <si>
    <t>07_06</t>
  </si>
  <si>
    <t>07_07</t>
  </si>
  <si>
    <t>07_09</t>
  </si>
  <si>
    <t>07_10</t>
  </si>
  <si>
    <t>07_11</t>
  </si>
  <si>
    <t>07_12</t>
  </si>
  <si>
    <t>07_13</t>
  </si>
  <si>
    <t>07_14</t>
  </si>
  <si>
    <t>07_15</t>
  </si>
  <si>
    <t>07_16</t>
  </si>
  <si>
    <t>07_17</t>
  </si>
  <si>
    <t>07_18</t>
  </si>
  <si>
    <t>07_19</t>
  </si>
  <si>
    <t>07_20</t>
  </si>
  <si>
    <t>07_23</t>
  </si>
  <si>
    <t>07_25</t>
  </si>
  <si>
    <t>07_27</t>
  </si>
  <si>
    <t>07_28</t>
  </si>
  <si>
    <t>07_29</t>
  </si>
  <si>
    <t>07_31</t>
  </si>
  <si>
    <t>07_37</t>
  </si>
  <si>
    <t>07_38</t>
  </si>
  <si>
    <t>07_39</t>
  </si>
  <si>
    <t>09_02</t>
  </si>
  <si>
    <t>09_07</t>
  </si>
  <si>
    <t>09_09</t>
  </si>
  <si>
    <t>09_10</t>
  </si>
  <si>
    <t>09_12</t>
  </si>
  <si>
    <t>09_13</t>
  </si>
  <si>
    <t>09_14</t>
  </si>
  <si>
    <t>12_01</t>
  </si>
  <si>
    <t>12_05</t>
  </si>
  <si>
    <t>12_08</t>
  </si>
  <si>
    <t>12_09</t>
  </si>
  <si>
    <t>12_10</t>
  </si>
  <si>
    <t>12_14</t>
  </si>
  <si>
    <t>12_16</t>
  </si>
  <si>
    <t>12_17</t>
  </si>
  <si>
    <t>12_18</t>
  </si>
  <si>
    <t>12_19</t>
  </si>
  <si>
    <t>12_21</t>
  </si>
  <si>
    <t>12_22</t>
  </si>
  <si>
    <t>13_01</t>
  </si>
  <si>
    <t>13_02</t>
  </si>
  <si>
    <t>13_03</t>
  </si>
  <si>
    <t>13_04</t>
  </si>
  <si>
    <t>13_05</t>
  </si>
  <si>
    <t>13_06</t>
  </si>
  <si>
    <t>13_07</t>
  </si>
  <si>
    <t>13_08</t>
  </si>
  <si>
    <t>13_09</t>
  </si>
  <si>
    <t>13_10</t>
  </si>
  <si>
    <t>13_11</t>
  </si>
  <si>
    <t>13_12</t>
  </si>
  <si>
    <t>13_13</t>
  </si>
  <si>
    <t>13_14</t>
  </si>
  <si>
    <t>13_15</t>
  </si>
  <si>
    <t>13_16</t>
  </si>
  <si>
    <t>13_17</t>
  </si>
  <si>
    <t>13_18</t>
  </si>
  <si>
    <t>13_19</t>
  </si>
  <si>
    <t>13_20</t>
  </si>
  <si>
    <t>13_21</t>
  </si>
  <si>
    <t>13_22</t>
  </si>
  <si>
    <t>13_23</t>
  </si>
  <si>
    <t>13_24</t>
  </si>
  <si>
    <t>13_25</t>
  </si>
  <si>
    <t>13_26</t>
  </si>
  <si>
    <t>13_27</t>
  </si>
  <si>
    <t>Region</t>
  </si>
  <si>
    <t>R</t>
  </si>
  <si>
    <t>S</t>
  </si>
  <si>
    <t>ID</t>
  </si>
  <si>
    <t>0101_R</t>
  </si>
  <si>
    <t>0101_S</t>
  </si>
  <si>
    <t>0102_R</t>
  </si>
  <si>
    <t>0102_S</t>
  </si>
  <si>
    <t>0103_R</t>
  </si>
  <si>
    <t>0103_S</t>
  </si>
  <si>
    <t>0104_R</t>
  </si>
  <si>
    <t>0104_S</t>
  </si>
  <si>
    <t>0105_R</t>
  </si>
  <si>
    <t>0105_S</t>
  </si>
  <si>
    <t>0106_R</t>
  </si>
  <si>
    <t>0106_S</t>
  </si>
  <si>
    <t>0107_R</t>
  </si>
  <si>
    <t>0107_S</t>
  </si>
  <si>
    <t>0108_R</t>
  </si>
  <si>
    <t>0108_S</t>
  </si>
  <si>
    <t>0109_R</t>
  </si>
  <si>
    <t>0109_S</t>
  </si>
  <si>
    <t>0110_R</t>
  </si>
  <si>
    <t>0110_S</t>
  </si>
  <si>
    <t>0111_R</t>
  </si>
  <si>
    <t>0111_S</t>
  </si>
  <si>
    <t>0112_S</t>
  </si>
  <si>
    <t>0114_S</t>
  </si>
  <si>
    <t>0115_S</t>
  </si>
  <si>
    <t>0116_S</t>
  </si>
  <si>
    <t>0117_S</t>
  </si>
  <si>
    <t>0118_R</t>
  </si>
  <si>
    <t>0118_S</t>
  </si>
  <si>
    <t>0119_R</t>
  </si>
  <si>
    <t>0119_S</t>
  </si>
  <si>
    <t>0121_R</t>
  </si>
  <si>
    <t>0121_S</t>
  </si>
  <si>
    <t>0122_R</t>
  </si>
  <si>
    <t>0122_S</t>
  </si>
  <si>
    <t>0123_R</t>
  </si>
  <si>
    <t>0123_S</t>
  </si>
  <si>
    <t>0124_S</t>
  </si>
  <si>
    <t>0126_R</t>
  </si>
  <si>
    <t>0126_S</t>
  </si>
  <si>
    <t>0127_R</t>
  </si>
  <si>
    <t>0127_S</t>
  </si>
  <si>
    <t>0129_R</t>
  </si>
  <si>
    <t>0129_S</t>
  </si>
  <si>
    <t>0130_R</t>
  </si>
  <si>
    <t>0130_S</t>
  </si>
  <si>
    <t>0131_R</t>
  </si>
  <si>
    <t>0131_S</t>
  </si>
  <si>
    <t>0132_R</t>
  </si>
  <si>
    <t>0132_S</t>
  </si>
  <si>
    <t>0133_R</t>
  </si>
  <si>
    <t>0134_R</t>
  </si>
  <si>
    <t>0135_R</t>
  </si>
  <si>
    <t>0136_R</t>
  </si>
  <si>
    <t>0136_S</t>
  </si>
  <si>
    <t>0137_R</t>
  </si>
  <si>
    <t>0137_S</t>
  </si>
  <si>
    <t>0138_R</t>
  </si>
  <si>
    <t>0139_R</t>
  </si>
  <si>
    <t>0139_S</t>
  </si>
  <si>
    <t>0140_R</t>
  </si>
  <si>
    <t>0140_S</t>
  </si>
  <si>
    <t>0141_R</t>
  </si>
  <si>
    <t>0141_S</t>
  </si>
  <si>
    <t>0142_S</t>
  </si>
  <si>
    <t>0144_R</t>
  </si>
  <si>
    <t>0144_S</t>
  </si>
  <si>
    <t>0145_R</t>
  </si>
  <si>
    <t>0145_S</t>
  </si>
  <si>
    <t>0146_R</t>
  </si>
  <si>
    <t>0146_S</t>
  </si>
  <si>
    <t>0147_R</t>
  </si>
  <si>
    <t>0147_S</t>
  </si>
  <si>
    <t>0148_S</t>
  </si>
  <si>
    <t>0149_R</t>
  </si>
  <si>
    <t>0149_S</t>
  </si>
  <si>
    <t>0150_R</t>
  </si>
  <si>
    <t>0150_S</t>
  </si>
  <si>
    <t>0152_R</t>
  </si>
  <si>
    <t>0152_S</t>
  </si>
  <si>
    <t>0201_R</t>
  </si>
  <si>
    <t>0201_S</t>
  </si>
  <si>
    <t>0202_R</t>
  </si>
  <si>
    <t>0202_S</t>
  </si>
  <si>
    <t>0203_R</t>
  </si>
  <si>
    <t>0203_S</t>
  </si>
  <si>
    <t>0204_R</t>
  </si>
  <si>
    <t>0204_S</t>
  </si>
  <si>
    <t>0205_R</t>
  </si>
  <si>
    <t>0205_S</t>
  </si>
  <si>
    <t>0206_R</t>
  </si>
  <si>
    <t>0206_S</t>
  </si>
  <si>
    <t>0207_R</t>
  </si>
  <si>
    <t>0208_R</t>
  </si>
  <si>
    <t>0209_R</t>
  </si>
  <si>
    <t>0209_S</t>
  </si>
  <si>
    <t>0211_R</t>
  </si>
  <si>
    <t>0211_S</t>
  </si>
  <si>
    <t>0212_R</t>
  </si>
  <si>
    <t>0212_S</t>
  </si>
  <si>
    <t>0213_S</t>
  </si>
  <si>
    <t>0214_R</t>
  </si>
  <si>
    <t>0214_S</t>
  </si>
  <si>
    <t>0215_R</t>
  </si>
  <si>
    <t>0215_S</t>
  </si>
  <si>
    <t>0216_S</t>
  </si>
  <si>
    <t>0217_S</t>
  </si>
  <si>
    <t>0218_S</t>
  </si>
  <si>
    <t>0219_S</t>
  </si>
  <si>
    <t>0220_S</t>
  </si>
  <si>
    <t>0221_S</t>
  </si>
  <si>
    <t>0222_S</t>
  </si>
  <si>
    <t>0223_S</t>
  </si>
  <si>
    <t>0224_S</t>
  </si>
  <si>
    <t>0225_S</t>
  </si>
  <si>
    <t>0226_R</t>
  </si>
  <si>
    <t>0226_S</t>
  </si>
  <si>
    <t>0227_R</t>
  </si>
  <si>
    <t>0227_S</t>
  </si>
  <si>
    <t>0228_R</t>
  </si>
  <si>
    <t>0228_S</t>
  </si>
  <si>
    <t>0229_R</t>
  </si>
  <si>
    <t>0229_S</t>
  </si>
  <si>
    <t>0230_R</t>
  </si>
  <si>
    <t>0230_S</t>
  </si>
  <si>
    <t>0231_R</t>
  </si>
  <si>
    <t>0231_S</t>
  </si>
  <si>
    <t>0232_R</t>
  </si>
  <si>
    <t>0232_S</t>
  </si>
  <si>
    <t>0233_R</t>
  </si>
  <si>
    <t>0233_S</t>
  </si>
  <si>
    <t>0234_R</t>
  </si>
  <si>
    <t>0234_S</t>
  </si>
  <si>
    <t>0235_S</t>
  </si>
  <si>
    <t>0236_R</t>
  </si>
  <si>
    <t>0236_S</t>
  </si>
  <si>
    <t>0237_R</t>
  </si>
  <si>
    <t>0237_S</t>
  </si>
  <si>
    <t>0238_R</t>
  </si>
  <si>
    <t>0238_S</t>
  </si>
  <si>
    <t>0239_R</t>
  </si>
  <si>
    <t>0239_S</t>
  </si>
  <si>
    <t>0240_R</t>
  </si>
  <si>
    <t>0240_S</t>
  </si>
  <si>
    <t>0242_R</t>
  </si>
  <si>
    <t>0242_S</t>
  </si>
  <si>
    <t>0244_R</t>
  </si>
  <si>
    <t>0244_S</t>
  </si>
  <si>
    <t>0245_R</t>
  </si>
  <si>
    <t>0245_S</t>
  </si>
  <si>
    <t>0246_R</t>
  </si>
  <si>
    <t>0246_S</t>
  </si>
  <si>
    <t>0301_R</t>
  </si>
  <si>
    <t>0301_S</t>
  </si>
  <si>
    <t>0302_R</t>
  </si>
  <si>
    <t>0302_S</t>
  </si>
  <si>
    <t>0303_R</t>
  </si>
  <si>
    <t>0303_S</t>
  </si>
  <si>
    <t>0304_S</t>
  </si>
  <si>
    <t>0305_R</t>
  </si>
  <si>
    <t>0306_R</t>
  </si>
  <si>
    <t>0306_S</t>
  </si>
  <si>
    <t>0307_R</t>
  </si>
  <si>
    <t>0307_S</t>
  </si>
  <si>
    <t>0308_R</t>
  </si>
  <si>
    <t>0308_S</t>
  </si>
  <si>
    <t>0309_R</t>
  </si>
  <si>
    <t>0309_S</t>
  </si>
  <si>
    <t>0310_R</t>
  </si>
  <si>
    <t>0310_S</t>
  </si>
  <si>
    <t>0311_R</t>
  </si>
  <si>
    <t>0311_S</t>
  </si>
  <si>
    <t>0312_R</t>
  </si>
  <si>
    <t>0312_S</t>
  </si>
  <si>
    <t>0313_R</t>
  </si>
  <si>
    <t>0313_S</t>
  </si>
  <si>
    <t>0314_R</t>
  </si>
  <si>
    <t>0314_S</t>
  </si>
  <si>
    <t>0315_S</t>
  </si>
  <si>
    <t>0316_S</t>
  </si>
  <si>
    <t>0317_S</t>
  </si>
  <si>
    <t>0318_S</t>
  </si>
  <si>
    <t>0319_S</t>
  </si>
  <si>
    <t>0320_S</t>
  </si>
  <si>
    <t>0401_S</t>
  </si>
  <si>
    <t>0403_R</t>
  </si>
  <si>
    <t>0403_S</t>
  </si>
  <si>
    <t>0405_R</t>
  </si>
  <si>
    <t>0405_S</t>
  </si>
  <si>
    <t>0406_R</t>
  </si>
  <si>
    <t>0406_S</t>
  </si>
  <si>
    <t>0407_R</t>
  </si>
  <si>
    <t>0407_S</t>
  </si>
  <si>
    <t>0408_R</t>
  </si>
  <si>
    <t>0408_S</t>
  </si>
  <si>
    <t>0409_S</t>
  </si>
  <si>
    <t>0410_S</t>
  </si>
  <si>
    <t>0411_S</t>
  </si>
  <si>
    <t>0412_R</t>
  </si>
  <si>
    <t>0412_S</t>
  </si>
  <si>
    <t>0413_R</t>
  </si>
  <si>
    <t>0413_S</t>
  </si>
  <si>
    <t>0414_S</t>
  </si>
  <si>
    <t>0415_S</t>
  </si>
  <si>
    <t>0416_R</t>
  </si>
  <si>
    <t>0416_S</t>
  </si>
  <si>
    <t>0417_R</t>
  </si>
  <si>
    <t>0417_S</t>
  </si>
  <si>
    <t>0418_S</t>
  </si>
  <si>
    <t>0419_R</t>
  </si>
  <si>
    <t>0419_S</t>
  </si>
  <si>
    <t>0420_R</t>
  </si>
  <si>
    <t>0420_S</t>
  </si>
  <si>
    <t>0421_R</t>
  </si>
  <si>
    <t>0421_S</t>
  </si>
  <si>
    <t>0422_R</t>
  </si>
  <si>
    <t>0422_S</t>
  </si>
  <si>
    <t>0423_R</t>
  </si>
  <si>
    <t>0423_S</t>
  </si>
  <si>
    <t>0424_R</t>
  </si>
  <si>
    <t>0424_S</t>
  </si>
  <si>
    <t>0425_R</t>
  </si>
  <si>
    <t>0425_S</t>
  </si>
  <si>
    <t>0426_S</t>
  </si>
  <si>
    <t>0427_S</t>
  </si>
  <si>
    <t>0428_S</t>
  </si>
  <si>
    <t>0701_R</t>
  </si>
  <si>
    <t>0701_S</t>
  </si>
  <si>
    <t>0705_R</t>
  </si>
  <si>
    <t>0705_S</t>
  </si>
  <si>
    <t>0706_R</t>
  </si>
  <si>
    <t>0706_S</t>
  </si>
  <si>
    <t>0707_R</t>
  </si>
  <si>
    <t>0707_S</t>
  </si>
  <si>
    <t>0709_R</t>
  </si>
  <si>
    <t>0709_S</t>
  </si>
  <si>
    <t>0710_S</t>
  </si>
  <si>
    <t>0711_R</t>
  </si>
  <si>
    <t>0711_S</t>
  </si>
  <si>
    <t>0712_R</t>
  </si>
  <si>
    <t>0712_S</t>
  </si>
  <si>
    <t>0713_R</t>
  </si>
  <si>
    <t>0713_S</t>
  </si>
  <si>
    <t>0714_S</t>
  </si>
  <si>
    <t>0715_R</t>
  </si>
  <si>
    <t>0715_S</t>
  </si>
  <si>
    <t>0716_R</t>
  </si>
  <si>
    <t>0716_S</t>
  </si>
  <si>
    <t>0717_R</t>
  </si>
  <si>
    <t>0717_S</t>
  </si>
  <si>
    <t>0718_R</t>
  </si>
  <si>
    <t>0718_S</t>
  </si>
  <si>
    <t>0719_R</t>
  </si>
  <si>
    <t>0719_S</t>
  </si>
  <si>
    <t>0720_R</t>
  </si>
  <si>
    <t>0720_S</t>
  </si>
  <si>
    <t>0723_R</t>
  </si>
  <si>
    <t>0723_S</t>
  </si>
  <si>
    <t>0725_R</t>
  </si>
  <si>
    <t>0725_S</t>
  </si>
  <si>
    <t>0727_R</t>
  </si>
  <si>
    <t>0727_S</t>
  </si>
  <si>
    <t>0728_R</t>
  </si>
  <si>
    <t>0728_S</t>
  </si>
  <si>
    <t>0729_R</t>
  </si>
  <si>
    <t>0729_S</t>
  </si>
  <si>
    <t>0731_S</t>
  </si>
  <si>
    <t>0737_R</t>
  </si>
  <si>
    <t>0737_S</t>
  </si>
  <si>
    <t>0738_R</t>
  </si>
  <si>
    <t>0738_S</t>
  </si>
  <si>
    <t>0739_R</t>
  </si>
  <si>
    <t>0739_S</t>
  </si>
  <si>
    <t>0902_R</t>
  </si>
  <si>
    <t>0902_S</t>
  </si>
  <si>
    <t>0907_R</t>
  </si>
  <si>
    <t>0909_R</t>
  </si>
  <si>
    <t>0909_S</t>
  </si>
  <si>
    <t>0910_R</t>
  </si>
  <si>
    <t>0910_S</t>
  </si>
  <si>
    <t>0912_R</t>
  </si>
  <si>
    <t>0912_S</t>
  </si>
  <si>
    <t>0913_R</t>
  </si>
  <si>
    <t>0913_S</t>
  </si>
  <si>
    <t>0914_R</t>
  </si>
  <si>
    <t>0914_S</t>
  </si>
  <si>
    <t>1201_S</t>
  </si>
  <si>
    <t>1205_R</t>
  </si>
  <si>
    <t>1205_S</t>
  </si>
  <si>
    <t>1208_R</t>
  </si>
  <si>
    <t>1208_S</t>
  </si>
  <si>
    <t>1209_S</t>
  </si>
  <si>
    <t>1210_R</t>
  </si>
  <si>
    <t>1210_S</t>
  </si>
  <si>
    <t>1214_R</t>
  </si>
  <si>
    <t>1214_S</t>
  </si>
  <si>
    <t>1216_R</t>
  </si>
  <si>
    <t>1216_S</t>
  </si>
  <si>
    <t>1217_R</t>
  </si>
  <si>
    <t>1217_S</t>
  </si>
  <si>
    <t>1218_R</t>
  </si>
  <si>
    <t>1218_S</t>
  </si>
  <si>
    <t>1219_R</t>
  </si>
  <si>
    <t>1219_S</t>
  </si>
  <si>
    <t>1221_R</t>
  </si>
  <si>
    <t>1221_S</t>
  </si>
  <si>
    <t>1222_R</t>
  </si>
  <si>
    <t>1222_S</t>
  </si>
  <si>
    <t>1301_R</t>
  </si>
  <si>
    <t>1301_S</t>
  </si>
  <si>
    <t>1302_R</t>
  </si>
  <si>
    <t>1302_S</t>
  </si>
  <si>
    <t>1303_R</t>
  </si>
  <si>
    <t>1303_S</t>
  </si>
  <si>
    <t>1304_S</t>
  </si>
  <si>
    <t>1305_R</t>
  </si>
  <si>
    <t>1305_S</t>
  </si>
  <si>
    <t>1306_R</t>
  </si>
  <si>
    <t>1306_S</t>
  </si>
  <si>
    <t>1307_R</t>
  </si>
  <si>
    <t>1307_S</t>
  </si>
  <si>
    <t>1308_R</t>
  </si>
  <si>
    <t>1308_S</t>
  </si>
  <si>
    <t>1309_R</t>
  </si>
  <si>
    <t>1309_S</t>
  </si>
  <si>
    <t>1310_R</t>
  </si>
  <si>
    <t>1310_S</t>
  </si>
  <si>
    <t>1311_R</t>
  </si>
  <si>
    <t>1311_S</t>
  </si>
  <si>
    <t>1312_R</t>
  </si>
  <si>
    <t>1312_S</t>
  </si>
  <si>
    <t>1313_R</t>
  </si>
  <si>
    <t>1313_S</t>
  </si>
  <si>
    <t>1314_R</t>
  </si>
  <si>
    <t>1314_S</t>
  </si>
  <si>
    <t>1315_R</t>
  </si>
  <si>
    <t>1315_S</t>
  </si>
  <si>
    <t>1316_R</t>
  </si>
  <si>
    <t>1316_S</t>
  </si>
  <si>
    <t>1317_R</t>
  </si>
  <si>
    <t>1317_S</t>
  </si>
  <si>
    <t>1318_R</t>
  </si>
  <si>
    <t>1318_S</t>
  </si>
  <si>
    <t>1319_R</t>
  </si>
  <si>
    <t>1319_S</t>
  </si>
  <si>
    <t>1320_R</t>
  </si>
  <si>
    <t>1320_S</t>
  </si>
  <si>
    <t>1321_R</t>
  </si>
  <si>
    <t>1321_S</t>
  </si>
  <si>
    <t>1322_R</t>
  </si>
  <si>
    <t>1322_S</t>
  </si>
  <si>
    <t>1323_S</t>
  </si>
  <si>
    <t>1324_R</t>
  </si>
  <si>
    <t>1324_S</t>
  </si>
  <si>
    <t>1325_R</t>
  </si>
  <si>
    <t>1325_S</t>
  </si>
  <si>
    <t>1326_R</t>
  </si>
  <si>
    <t>1326_S</t>
  </si>
  <si>
    <t>1327_R</t>
  </si>
  <si>
    <t>1327_S</t>
  </si>
  <si>
    <t>WSI</t>
  </si>
  <si>
    <t>01001 Rectum C</t>
  </si>
  <si>
    <t>01001 Sigmoid B</t>
  </si>
  <si>
    <t>01002 Rectum C</t>
  </si>
  <si>
    <t>01002 Sigmoid B</t>
  </si>
  <si>
    <t>01003 Rectum D</t>
  </si>
  <si>
    <t>01003 Sigmoid C</t>
  </si>
  <si>
    <t>01004 Rectum B</t>
  </si>
  <si>
    <t>01004 Sigmoid A</t>
  </si>
  <si>
    <t>01005 Rectum D</t>
  </si>
  <si>
    <t>01005 Sigmoid C</t>
  </si>
  <si>
    <t>01006 Rectum D</t>
  </si>
  <si>
    <t>01006 Sigmoid C</t>
  </si>
  <si>
    <t>01007 Rectum C</t>
  </si>
  <si>
    <t>01007 Sigmoid B</t>
  </si>
  <si>
    <t>01008 Rectum G</t>
  </si>
  <si>
    <t>01008 Sigmoid E</t>
  </si>
  <si>
    <t>01009 Rectum F</t>
  </si>
  <si>
    <t>01009 Sigmoid E</t>
  </si>
  <si>
    <t>01010 Rectum E</t>
  </si>
  <si>
    <t>01010 Sigmoid D</t>
  </si>
  <si>
    <t>01011 Rectum C</t>
  </si>
  <si>
    <t>01011 Sigmoid A</t>
  </si>
  <si>
    <t>01012 Sigmoid F</t>
  </si>
  <si>
    <t>01014 Sigmoid D</t>
  </si>
  <si>
    <t>01015 Sigmoid A</t>
  </si>
  <si>
    <t>01016 Sigmoid A</t>
  </si>
  <si>
    <t>01017 Sigmoid A</t>
  </si>
  <si>
    <t>01018 Rectum J</t>
  </si>
  <si>
    <t>01018 Sigmoid G</t>
  </si>
  <si>
    <t>01019 Rectum B</t>
  </si>
  <si>
    <t>01019 Sigmoid A</t>
  </si>
  <si>
    <t>01021_RectumC</t>
  </si>
  <si>
    <t>01021_SigmoidB</t>
  </si>
  <si>
    <t>01022 Rectum C</t>
  </si>
  <si>
    <t>01022 Sigmoid B</t>
  </si>
  <si>
    <t>01023_RectumD</t>
  </si>
  <si>
    <t>01023_SigmoidC</t>
  </si>
  <si>
    <t>01024_RectumD</t>
  </si>
  <si>
    <t>01026_Rectum E</t>
  </si>
  <si>
    <t>01026_Sigmoid D</t>
  </si>
  <si>
    <t>01027 Rectum C</t>
  </si>
  <si>
    <t>01027_SigmoidB</t>
  </si>
  <si>
    <t>01029 Sigmoid A</t>
  </si>
  <si>
    <t>01029_Rectum B</t>
  </si>
  <si>
    <t>01030 Rectum C</t>
  </si>
  <si>
    <t>01030_SigmoidB</t>
  </si>
  <si>
    <t>01031_Rectum B</t>
  </si>
  <si>
    <t>01031_Sigmoid A</t>
  </si>
  <si>
    <t>01032_Rectum B</t>
  </si>
  <si>
    <t>01032_Sigmoid A</t>
  </si>
  <si>
    <t>01033_RectumF</t>
  </si>
  <si>
    <t>01034_RectumD</t>
  </si>
  <si>
    <t>01035_RectumD</t>
  </si>
  <si>
    <t>01036 Sigmoid B2</t>
  </si>
  <si>
    <t>01036_RectumD</t>
  </si>
  <si>
    <t>01037 Sigmoid A</t>
  </si>
  <si>
    <t>01037_RectumB</t>
  </si>
  <si>
    <t>01038_RectumD</t>
  </si>
  <si>
    <t>01039 Sigmoid C</t>
  </si>
  <si>
    <t>01039_RectumD</t>
  </si>
  <si>
    <t>01040 Rectum C</t>
  </si>
  <si>
    <t>01040 Sigmoid B</t>
  </si>
  <si>
    <t>01041 Rectum B</t>
  </si>
  <si>
    <t>01041 Sigmoid A</t>
  </si>
  <si>
    <t>01042 Sigmoid B</t>
  </si>
  <si>
    <t>01044 Rectum F</t>
  </si>
  <si>
    <t>01044 Sigmoid E</t>
  </si>
  <si>
    <t>01045 Rectum G</t>
  </si>
  <si>
    <t>01045 Sigmoid F</t>
  </si>
  <si>
    <t>01046 Rectum B</t>
  </si>
  <si>
    <t>01046 Sigmoid A</t>
  </si>
  <si>
    <t>01047 Rectum F</t>
  </si>
  <si>
    <t>01047 Sigmoid E</t>
  </si>
  <si>
    <t>01048 Sigmoid D</t>
  </si>
  <si>
    <t>01049 Rectum D</t>
  </si>
  <si>
    <t>01049 Sigmoid C</t>
  </si>
  <si>
    <t>01050 Rectum E</t>
  </si>
  <si>
    <t>01050 Sigmoid C</t>
  </si>
  <si>
    <t>01052 Rectum C</t>
  </si>
  <si>
    <t>01052 Sigmoid B</t>
  </si>
  <si>
    <t>02_001 Rectum 2F</t>
  </si>
  <si>
    <t>02_001 Sigmoid 2E</t>
  </si>
  <si>
    <t>02_002 Rectum 1F</t>
  </si>
  <si>
    <t>02_002 Sigmoid 1E</t>
  </si>
  <si>
    <t>02_003 Rectum 1F</t>
  </si>
  <si>
    <t>02_003 Sigmoid 1E</t>
  </si>
  <si>
    <t>02_004 Rectum F</t>
  </si>
  <si>
    <t>02_004 Sigmoid E</t>
  </si>
  <si>
    <t>02_005 Rectum 1F</t>
  </si>
  <si>
    <t>02_005 Sigmoid E</t>
  </si>
  <si>
    <t>02_006 Rectum 1F</t>
  </si>
  <si>
    <t>02_006 Sigmoid E</t>
  </si>
  <si>
    <t>02_007 Rectum 1F</t>
  </si>
  <si>
    <t>02_008 Rectum 1F</t>
  </si>
  <si>
    <t>02_009 Rectum 1F</t>
  </si>
  <si>
    <t>02_009 Sigmoid 1E</t>
  </si>
  <si>
    <t>02_011 Sigmoid 1E</t>
  </si>
  <si>
    <t>02_011 Sigmoid 1F</t>
  </si>
  <si>
    <t>02_012 Rectum 1F</t>
  </si>
  <si>
    <t>02_012 Sigmoid 1E</t>
  </si>
  <si>
    <t>02_013 Sigmoid 1E</t>
  </si>
  <si>
    <t>02_014 Rectum 1F</t>
  </si>
  <si>
    <t>02_014 Sigmoid 1E</t>
  </si>
  <si>
    <t>02_015 Rectum 1F</t>
  </si>
  <si>
    <t>02_015 Sigmoid 1E</t>
  </si>
  <si>
    <t>02_016 Sigmoid 1A</t>
  </si>
  <si>
    <t>02_017 Sigmoid 1E</t>
  </si>
  <si>
    <t>02_018 Sigmoid 1A</t>
  </si>
  <si>
    <t>02_019 Sigmoid 1E</t>
  </si>
  <si>
    <t>02_020 Sigmoid 1E</t>
  </si>
  <si>
    <t>02_021 Sigmoid 1E</t>
  </si>
  <si>
    <t>02_022 Sigmoid 1E</t>
  </si>
  <si>
    <t>02_023 Sigmoid 1E</t>
  </si>
  <si>
    <t>02_024 Sigmiod 1E</t>
  </si>
  <si>
    <t>02_025 Sigmoid 1E</t>
  </si>
  <si>
    <t>02_026 Rectum</t>
  </si>
  <si>
    <t>02_026 Sigmoid 1E</t>
  </si>
  <si>
    <t>02_027 Rectum 1F</t>
  </si>
  <si>
    <t>02_027 Sigmoid 1E</t>
  </si>
  <si>
    <t>02_028 Rectum 1F</t>
  </si>
  <si>
    <t>02_028 Sigmoid 1E</t>
  </si>
  <si>
    <t>02_029 Rectum 1F</t>
  </si>
  <si>
    <t>02_029 Sigmoid 1E</t>
  </si>
  <si>
    <t>02_030 Rectum 1F</t>
  </si>
  <si>
    <t>02_030 Sigmoid 1E</t>
  </si>
  <si>
    <t>02_031 Rectum 1F</t>
  </si>
  <si>
    <t>02_031 Sigmoid 1E</t>
  </si>
  <si>
    <t>02_032 Rectum 1F</t>
  </si>
  <si>
    <t>02_032 Sigmoid 1E</t>
  </si>
  <si>
    <t>02_033 Rectum 1F</t>
  </si>
  <si>
    <t>02_033 Sigmoid 1E</t>
  </si>
  <si>
    <t>02_034 Rectum 1F</t>
  </si>
  <si>
    <t>02_034 Sigmoid 1E</t>
  </si>
  <si>
    <t>02_035 Sigmoid 1E</t>
  </si>
  <si>
    <t>02_036 Rectum 1F</t>
  </si>
  <si>
    <t>02_036 Sigmoid 1E</t>
  </si>
  <si>
    <t>02_037 Rectum 1E</t>
  </si>
  <si>
    <t>02_037 Sigmoid 1D</t>
  </si>
  <si>
    <t>02_038 Rectum 1F</t>
  </si>
  <si>
    <t>02_038 Sigmoid 1E</t>
  </si>
  <si>
    <t>02_039 Rectum 1F</t>
  </si>
  <si>
    <t>02_039 Sigmoid 1E</t>
  </si>
  <si>
    <t>02_040 Rectum 1F</t>
  </si>
  <si>
    <t>02_040 Sigmoid 1E</t>
  </si>
  <si>
    <t>02_042 Rectum 1F</t>
  </si>
  <si>
    <t>02_042 Sigmoid 1E</t>
  </si>
  <si>
    <t>02_044 Rectum 1F</t>
  </si>
  <si>
    <t>02_044 Sigmoid 1E</t>
  </si>
  <si>
    <t>02_045 Rectum 1F</t>
  </si>
  <si>
    <t>02_045 Sigmoid 1E</t>
  </si>
  <si>
    <t>02_046 Rectum 1F</t>
  </si>
  <si>
    <t>02_046 Sigmoid 1E</t>
  </si>
  <si>
    <t>03-01_Rectum</t>
  </si>
  <si>
    <t>03-01_Sigmoid</t>
  </si>
  <si>
    <t>03-02_Rectum</t>
  </si>
  <si>
    <t>03-02_Sigmoid</t>
  </si>
  <si>
    <t>03-03_Rectum</t>
  </si>
  <si>
    <t>03-03_Sigmoid</t>
  </si>
  <si>
    <t>03-04_Sigmoid</t>
  </si>
  <si>
    <t>03-05_Rectum</t>
  </si>
  <si>
    <t>03-06_Rectum</t>
  </si>
  <si>
    <t>03-06_Sigmoid</t>
  </si>
  <si>
    <t>03-07_Rectum</t>
  </si>
  <si>
    <t>03-07_Sigmoid</t>
  </si>
  <si>
    <t>03-08_Rectum</t>
  </si>
  <si>
    <t>03-08_Sigmoid</t>
  </si>
  <si>
    <t>03-09_Rectum</t>
  </si>
  <si>
    <t>03-09_Sigmoid</t>
  </si>
  <si>
    <t>03-10_Rectum</t>
  </si>
  <si>
    <t>03-10_Sigmoid</t>
  </si>
  <si>
    <t>03-11_Rectum</t>
  </si>
  <si>
    <t>03-11_Sigmoid</t>
  </si>
  <si>
    <t>03-12_Rectum</t>
  </si>
  <si>
    <t>03-12_Sigmoid</t>
  </si>
  <si>
    <t>03-13_Rectum</t>
  </si>
  <si>
    <t>03-13_Sigmoid</t>
  </si>
  <si>
    <t>03-14_Rectum</t>
  </si>
  <si>
    <t>03-14_Sigmoid</t>
  </si>
  <si>
    <t>03-15_Sigmoid</t>
  </si>
  <si>
    <t>03-16_Sigmoid</t>
  </si>
  <si>
    <t>03-17_Sigmoid</t>
  </si>
  <si>
    <t>03-18_Sigmoid</t>
  </si>
  <si>
    <t>03-19_Sigmoid</t>
  </si>
  <si>
    <t>03-20_Sigmoid</t>
  </si>
  <si>
    <t>04-01_SIGMOID</t>
  </si>
  <si>
    <t>04-03_RECTUM</t>
  </si>
  <si>
    <t>04-03_SIGMOID</t>
  </si>
  <si>
    <t>04-05_RECTUM</t>
  </si>
  <si>
    <t>04-05_SIGMOID</t>
  </si>
  <si>
    <t>04-06_RECTUM</t>
  </si>
  <si>
    <t>04-06_SIGMOID</t>
  </si>
  <si>
    <t>04-07_RECTUM</t>
  </si>
  <si>
    <t>04-07_SIGMOID</t>
  </si>
  <si>
    <t>04-08_RECTUM</t>
  </si>
  <si>
    <t>04-08_SIGMOID</t>
  </si>
  <si>
    <t>04-09_SIGMOID</t>
  </si>
  <si>
    <t>04-10_SIGMOID</t>
  </si>
  <si>
    <t>04-11_SIGMOID</t>
  </si>
  <si>
    <t>04-12_RECTUM</t>
  </si>
  <si>
    <t>04-12_SIGMOID</t>
  </si>
  <si>
    <t>04-13_RECTUM</t>
  </si>
  <si>
    <t>04-13_SIGMOID</t>
  </si>
  <si>
    <t>04-14_SIGMOID</t>
  </si>
  <si>
    <t>04-15_SIGMOID</t>
  </si>
  <si>
    <t>04-16_RECTUM</t>
  </si>
  <si>
    <t>04-16_SIGMOID</t>
  </si>
  <si>
    <t>04-17_RECTUM</t>
  </si>
  <si>
    <t>04-17_SIGMOID</t>
  </si>
  <si>
    <t>04-18_SIGMOID</t>
  </si>
  <si>
    <t>04-19_Rectum</t>
  </si>
  <si>
    <t>04-19_Sigmoid</t>
  </si>
  <si>
    <t>04-20_RECTUM</t>
  </si>
  <si>
    <t>04-20_SIGMOID</t>
  </si>
  <si>
    <t>04-21_RECTUM</t>
  </si>
  <si>
    <t>04-21_SIGMOID</t>
  </si>
  <si>
    <t>04-22_RECTUM</t>
  </si>
  <si>
    <t>04-22_SIGMOID</t>
  </si>
  <si>
    <t>04-23_RECTUM</t>
  </si>
  <si>
    <t>04-23_SIGMOID</t>
  </si>
  <si>
    <t>04-24_Rectum</t>
  </si>
  <si>
    <t>04-24_Sigmoid</t>
  </si>
  <si>
    <t>04-25_Rectum</t>
  </si>
  <si>
    <t>04-25_Sigmoid</t>
  </si>
  <si>
    <t>04-26_Sigmoid</t>
  </si>
  <si>
    <t>04-27_Sigmoid</t>
  </si>
  <si>
    <t>04-28_Sigmoid</t>
  </si>
  <si>
    <t>07-01 Rectum</t>
  </si>
  <si>
    <t>07-01 Sigmoid</t>
  </si>
  <si>
    <t>07-05 Rectum</t>
  </si>
  <si>
    <t>07-05 Sigmoid</t>
  </si>
  <si>
    <t>07-06 Rectum</t>
  </si>
  <si>
    <t>07-06 Sigmoid</t>
  </si>
  <si>
    <t>07-07 Rectum</t>
  </si>
  <si>
    <t>07-07 Sigmoid</t>
  </si>
  <si>
    <t>07-09 Rectum</t>
  </si>
  <si>
    <t>07-09 Sigmoid</t>
  </si>
  <si>
    <t>07-10 Simoid</t>
  </si>
  <si>
    <t>07-11 Rectum</t>
  </si>
  <si>
    <t>07-11 Sigmoid</t>
  </si>
  <si>
    <t>07-12 Rectum</t>
  </si>
  <si>
    <t>07-12 Sigmoid</t>
  </si>
  <si>
    <t>07-13 Rectum</t>
  </si>
  <si>
    <t>07-13 Sigmoid</t>
  </si>
  <si>
    <t>07-14 Sigmoid</t>
  </si>
  <si>
    <t>07-15 Rectum</t>
  </si>
  <si>
    <t>07-15 Sigmoid</t>
  </si>
  <si>
    <t>07-16 Rectum</t>
  </si>
  <si>
    <t>07-16 Sigmoid</t>
  </si>
  <si>
    <t>07-17 Rectum</t>
  </si>
  <si>
    <t>07-17 Sigmoid</t>
  </si>
  <si>
    <t>07-18 Rectum</t>
  </si>
  <si>
    <t>07-18 Sigmoid</t>
  </si>
  <si>
    <t>07-19 Rectum</t>
  </si>
  <si>
    <t>07-19 Sigmoid</t>
  </si>
  <si>
    <t>07-20 Rectum</t>
  </si>
  <si>
    <t>07-20 Sigmoid</t>
  </si>
  <si>
    <t>07-23 Rectum</t>
  </si>
  <si>
    <t>07-23 Sigmoid</t>
  </si>
  <si>
    <t>07-25 Rectum</t>
  </si>
  <si>
    <t>07-25 Sigmoid</t>
  </si>
  <si>
    <t>07-27 Rectum</t>
  </si>
  <si>
    <t>07-27 Sigmoid</t>
  </si>
  <si>
    <t>07-28 Rectum</t>
  </si>
  <si>
    <t>07-28 Sigmoid</t>
  </si>
  <si>
    <t>07-29 Rectum</t>
  </si>
  <si>
    <t>07-29 Sigmoid</t>
  </si>
  <si>
    <t>07-31 Sigmoid</t>
  </si>
  <si>
    <t>07-37 Rectum</t>
  </si>
  <si>
    <t>07-37 Sigmoid</t>
  </si>
  <si>
    <t>07-38 Rectum</t>
  </si>
  <si>
    <t>07-38 Sigmoid</t>
  </si>
  <si>
    <t>07-39 Rectum</t>
  </si>
  <si>
    <t>07-39 Sigmoid</t>
  </si>
  <si>
    <t>09002 Rectum C</t>
  </si>
  <si>
    <t>09002 Sigmoid B</t>
  </si>
  <si>
    <t>09007 Rectum D</t>
  </si>
  <si>
    <t>09009 Rectum B</t>
  </si>
  <si>
    <t>09009 Sigmoid A</t>
  </si>
  <si>
    <t>09010 Rectum C</t>
  </si>
  <si>
    <t>09010 Sigmoid B</t>
  </si>
  <si>
    <t>09012 Rectum B</t>
  </si>
  <si>
    <t>09012 Sigmoid A</t>
  </si>
  <si>
    <t>09013 Rectum B</t>
  </si>
  <si>
    <t>09013 Sigmoid A</t>
  </si>
  <si>
    <t>09014 Rectum B</t>
  </si>
  <si>
    <t>09014 Sigmoid A</t>
  </si>
  <si>
    <t>12-01 Sigmoid</t>
  </si>
  <si>
    <t>12-05 Rectum</t>
  </si>
  <si>
    <t>12-05 Sigmoid</t>
  </si>
  <si>
    <t>12-08 Rectum</t>
  </si>
  <si>
    <t>12-08 Sigmoid</t>
  </si>
  <si>
    <t>12-09 Sigmoid</t>
  </si>
  <si>
    <t>12-10 Rectum</t>
  </si>
  <si>
    <t>12-10 Sigmoid</t>
  </si>
  <si>
    <t>12-14 Rectum</t>
  </si>
  <si>
    <t>12-14 Sigmoid</t>
  </si>
  <si>
    <t>12-16 Rectum</t>
  </si>
  <si>
    <t>12-16 Sigmoid</t>
  </si>
  <si>
    <t>12-17 Rectum</t>
  </si>
  <si>
    <t>12-17 Sigmoid</t>
  </si>
  <si>
    <t>12-18 Rektum</t>
  </si>
  <si>
    <t>12-18 Sigmoid</t>
  </si>
  <si>
    <t>12-19 Rectum</t>
  </si>
  <si>
    <t>12-19 Sigmoid</t>
  </si>
  <si>
    <t>12-21 Rectum</t>
  </si>
  <si>
    <t>12-21 Sigmoid</t>
  </si>
  <si>
    <t>12-22 Rectum</t>
  </si>
  <si>
    <t>12-22 Sigmoid</t>
  </si>
  <si>
    <t>13-01_RECTUM</t>
  </si>
  <si>
    <t>13-01_SIGMOID</t>
  </si>
  <si>
    <t>13-02_RECTUM</t>
  </si>
  <si>
    <t>13-02_SIGMOID</t>
  </si>
  <si>
    <t>13-03_RECTUM</t>
  </si>
  <si>
    <t>13-03_SIGMOID</t>
  </si>
  <si>
    <t>13-04_SIGMOID</t>
  </si>
  <si>
    <t>13-05_RECTUM</t>
  </si>
  <si>
    <t>13-05_SIGMOID</t>
  </si>
  <si>
    <t>13-06_RECTUM</t>
  </si>
  <si>
    <t>13-06_SIGMOID</t>
  </si>
  <si>
    <t>13-07_RECTUM</t>
  </si>
  <si>
    <t>13-07_SIGMOID</t>
  </si>
  <si>
    <t>13-08_RECTUM</t>
  </si>
  <si>
    <t>13-08_SIGMOID</t>
  </si>
  <si>
    <t>13-09_RECTUM</t>
  </si>
  <si>
    <t>13-09_SIGMOID</t>
  </si>
  <si>
    <t>13-10_RECTUM</t>
  </si>
  <si>
    <t>13-10_SIGMOID</t>
  </si>
  <si>
    <t>13-11_RECTUM</t>
  </si>
  <si>
    <t>13-11_SIGMOID</t>
  </si>
  <si>
    <t>13-12_RECTUM</t>
  </si>
  <si>
    <t>13-12_SIGMOID</t>
  </si>
  <si>
    <t>13-13_Rectum</t>
  </si>
  <si>
    <t>13-13_Sigmoid</t>
  </si>
  <si>
    <t>13-14_Rectum</t>
  </si>
  <si>
    <t>13-14_Sigmoid</t>
  </si>
  <si>
    <t>13-15_Rectum</t>
  </si>
  <si>
    <t>13-15_Sigmoid</t>
  </si>
  <si>
    <t>13-16_Rectum</t>
  </si>
  <si>
    <t>13-16_Sigmoid</t>
  </si>
  <si>
    <t>13-17_Rectum</t>
  </si>
  <si>
    <t>13-17_Sigmoid</t>
  </si>
  <si>
    <t>13-18_Rectum</t>
  </si>
  <si>
    <t>13-18_Sigmoid</t>
  </si>
  <si>
    <t>13-19_Rectum</t>
  </si>
  <si>
    <t>13-19_Sigmoid</t>
  </si>
  <si>
    <t>13-20_Rectum</t>
  </si>
  <si>
    <t>13-20_Sigmoid</t>
  </si>
  <si>
    <t>13-21_Rectum</t>
  </si>
  <si>
    <t>13-21_Sigmoid</t>
  </si>
  <si>
    <t>13-22_Rectum</t>
  </si>
  <si>
    <t>13-22_Sigmoid</t>
  </si>
  <si>
    <t>13-23_Sigmoid</t>
  </si>
  <si>
    <t>13-24_Rectum</t>
  </si>
  <si>
    <t>13-24_Sigmoid</t>
  </si>
  <si>
    <t>13-25_Rectum</t>
  </si>
  <si>
    <t>13-25_Sigmoid</t>
  </si>
  <si>
    <t>13-26_Rectum</t>
  </si>
  <si>
    <t>13-26_Sigmoid</t>
  </si>
  <si>
    <t>13-27_Rectum</t>
  </si>
  <si>
    <t>13-27_Sigmoid</t>
  </si>
  <si>
    <t>Video</t>
  </si>
  <si>
    <t>pat0101_section1</t>
  </si>
  <si>
    <t>pat0101_section2</t>
  </si>
  <si>
    <t>pat0102_section1</t>
  </si>
  <si>
    <t>pat0102_section2</t>
  </si>
  <si>
    <t>pat0103_section1</t>
  </si>
  <si>
    <t>pat0103_section2</t>
  </si>
  <si>
    <t>pat0104_section1</t>
  </si>
  <si>
    <t>pat0104_section2</t>
  </si>
  <si>
    <t>pat0105_section1</t>
  </si>
  <si>
    <t>pat0105_section2</t>
  </si>
  <si>
    <t>pat0106_section1</t>
  </si>
  <si>
    <t>pat0106_section2</t>
  </si>
  <si>
    <t>pat0107_section1</t>
  </si>
  <si>
    <t>pat0107_section2</t>
  </si>
  <si>
    <t>pat0108_section1</t>
  </si>
  <si>
    <t>pat0108_section2</t>
  </si>
  <si>
    <t>pat0109_section1</t>
  </si>
  <si>
    <t>pat0109_section2</t>
  </si>
  <si>
    <t>pat0110_section1</t>
  </si>
  <si>
    <t>pat0110_section2</t>
  </si>
  <si>
    <t>pat0111_section1</t>
  </si>
  <si>
    <t>pat0111_section2</t>
  </si>
  <si>
    <t>pat0112_section2</t>
  </si>
  <si>
    <t>pat0114_section2</t>
  </si>
  <si>
    <t>pat0115_section2</t>
  </si>
  <si>
    <t>pat0116_section2</t>
  </si>
  <si>
    <t>pat0117_section2</t>
  </si>
  <si>
    <t>pat0118_section1</t>
  </si>
  <si>
    <t>pat0118_section2</t>
  </si>
  <si>
    <t>pat0119_section1</t>
  </si>
  <si>
    <t>pat0119_section2</t>
  </si>
  <si>
    <t>pat0121_section1</t>
  </si>
  <si>
    <t>pat0121_section2</t>
  </si>
  <si>
    <t>pat0122_section1</t>
  </si>
  <si>
    <t>pat0122_section2</t>
  </si>
  <si>
    <t>pat0123_section1</t>
  </si>
  <si>
    <t>pat0123_section2</t>
  </si>
  <si>
    <t>pat0124_section2</t>
  </si>
  <si>
    <t>pat0126_section1</t>
  </si>
  <si>
    <t>pat0126_section2</t>
  </si>
  <si>
    <t>pat0127_section1</t>
  </si>
  <si>
    <t>pat0127_section2</t>
  </si>
  <si>
    <t>pat0129_section1</t>
  </si>
  <si>
    <t>pat0129_section2</t>
  </si>
  <si>
    <t>pat0130_section1</t>
  </si>
  <si>
    <t>pat0130_section2</t>
  </si>
  <si>
    <t>pat0131_section1</t>
  </si>
  <si>
    <t>pat0131_section2</t>
  </si>
  <si>
    <t>pat0132_section1</t>
  </si>
  <si>
    <t>pat0132_section2</t>
  </si>
  <si>
    <t>pat0133_section1</t>
  </si>
  <si>
    <t>pat0134_section1</t>
  </si>
  <si>
    <t>pat0135_section1</t>
  </si>
  <si>
    <t>pat0136_section1</t>
  </si>
  <si>
    <t>pat0136_section2</t>
  </si>
  <si>
    <t>pat0137_section1</t>
  </si>
  <si>
    <t>pat0137_section2</t>
  </si>
  <si>
    <t>pat0138_section1</t>
  </si>
  <si>
    <t>pat0139_section1</t>
  </si>
  <si>
    <t>pat0139_section2</t>
  </si>
  <si>
    <t>pat0140_section1</t>
  </si>
  <si>
    <t>pat0140_section2</t>
  </si>
  <si>
    <t>pat0141_section1</t>
  </si>
  <si>
    <t>pat0141_section2</t>
  </si>
  <si>
    <t>pat0142_section2</t>
  </si>
  <si>
    <t>01-44 Rectum UCEIS</t>
  </si>
  <si>
    <t>pat0144_section2</t>
  </si>
  <si>
    <t>01-45 Rectum UCEIS</t>
  </si>
  <si>
    <t>pat0145_section2</t>
  </si>
  <si>
    <t>01-46 Rectum UCEIS</t>
  </si>
  <si>
    <t>pat0146_section2</t>
  </si>
  <si>
    <t>01-47 Rectum UCEIS</t>
  </si>
  <si>
    <t>pat0147_section2</t>
  </si>
  <si>
    <t>pat0148_section2</t>
  </si>
  <si>
    <t>pat0149_section1</t>
  </si>
  <si>
    <t>pat0149_section2</t>
  </si>
  <si>
    <t>pat0150_section1</t>
  </si>
  <si>
    <t>pat0150_section2</t>
  </si>
  <si>
    <t>pat0152_section1</t>
  </si>
  <si>
    <t>pat0152_section2</t>
  </si>
  <si>
    <t>pat0201_section1</t>
  </si>
  <si>
    <t>pat0201_section2</t>
  </si>
  <si>
    <t>pat0202_section1</t>
  </si>
  <si>
    <t>pat0202_section2</t>
  </si>
  <si>
    <t>pat0203_section1</t>
  </si>
  <si>
    <t>pat0203_section2</t>
  </si>
  <si>
    <t>pat0204_section1</t>
  </si>
  <si>
    <t>pat0204_section2</t>
  </si>
  <si>
    <t>pat0205_section1</t>
  </si>
  <si>
    <t>pat0205_section2</t>
  </si>
  <si>
    <t>pat0206_section1</t>
  </si>
  <si>
    <t>pat0206_section2</t>
  </si>
  <si>
    <t>pat0207_section1</t>
  </si>
  <si>
    <t>pat0208_section1</t>
  </si>
  <si>
    <t>pat0209_section1</t>
  </si>
  <si>
    <t>pat0209_section2</t>
  </si>
  <si>
    <t>pat0211_section1</t>
  </si>
  <si>
    <t>pat0211_section2</t>
  </si>
  <si>
    <t>pat0212_section1</t>
  </si>
  <si>
    <t>pat0212_section2</t>
  </si>
  <si>
    <t>pat0213_section2</t>
  </si>
  <si>
    <t>pat0214_section1</t>
  </si>
  <si>
    <t>pat0214_section2</t>
  </si>
  <si>
    <t>pat0215_section1</t>
  </si>
  <si>
    <t>pat0215_section2</t>
  </si>
  <si>
    <t>pat0216_section2</t>
  </si>
  <si>
    <t>pat0217_section2</t>
  </si>
  <si>
    <t>pat0218_section2</t>
  </si>
  <si>
    <t>pat0219_section2</t>
  </si>
  <si>
    <t>pat0220_section2</t>
  </si>
  <si>
    <t>pat0221_section2</t>
  </si>
  <si>
    <t>pat0222_section2</t>
  </si>
  <si>
    <t>pat0223_section2</t>
  </si>
  <si>
    <t>pat0224_section2</t>
  </si>
  <si>
    <t>pat0225_section2</t>
  </si>
  <si>
    <t>pat0226_section1</t>
  </si>
  <si>
    <t>pat0226_section2</t>
  </si>
  <si>
    <t>pat0227_section1</t>
  </si>
  <si>
    <t>pat0227_section2</t>
  </si>
  <si>
    <t>pat0228_section1</t>
  </si>
  <si>
    <t>pat0228_section2</t>
  </si>
  <si>
    <t>pat0229_section1</t>
  </si>
  <si>
    <t>pat0229_section2</t>
  </si>
  <si>
    <t>pat0230_section1</t>
  </si>
  <si>
    <t>pat0230_section2</t>
  </si>
  <si>
    <t>pat0231_section1</t>
  </si>
  <si>
    <t>pat0231_section2</t>
  </si>
  <si>
    <t>pat0232_section1</t>
  </si>
  <si>
    <t>pat0232_section2</t>
  </si>
  <si>
    <t>pat0233_section1</t>
  </si>
  <si>
    <t>pat0233_section2</t>
  </si>
  <si>
    <t>pat0234_section1</t>
  </si>
  <si>
    <t>pat0234_section2</t>
  </si>
  <si>
    <t>pat0235_section2</t>
  </si>
  <si>
    <t>pat0236_section1</t>
  </si>
  <si>
    <t>pat0236_section2</t>
  </si>
  <si>
    <t>pat0237_section1</t>
  </si>
  <si>
    <t>pat0237_section2</t>
  </si>
  <si>
    <t>pat0238_section1</t>
  </si>
  <si>
    <t>pat0238_section2</t>
  </si>
  <si>
    <t>pat0239_section1</t>
  </si>
  <si>
    <t>pat0239_section2</t>
  </si>
  <si>
    <t>pat0240_section1</t>
  </si>
  <si>
    <t>pat0240_section2</t>
  </si>
  <si>
    <t>pat0242_section1</t>
  </si>
  <si>
    <t>pat0242_section2</t>
  </si>
  <si>
    <t>pat0244_section1</t>
  </si>
  <si>
    <t>pat0244_section2</t>
  </si>
  <si>
    <t>pat0245_section1</t>
  </si>
  <si>
    <t>pat0245_section2</t>
  </si>
  <si>
    <t>pat0246_section1</t>
  </si>
  <si>
    <t>pat0246_section2</t>
  </si>
  <si>
    <t>pat0301_section1</t>
  </si>
  <si>
    <t>pat0301_section2</t>
  </si>
  <si>
    <t>pat0302_section1</t>
  </si>
  <si>
    <t>pat0302_section2</t>
  </si>
  <si>
    <t>pat0303_section1</t>
  </si>
  <si>
    <t>pat0303_section2</t>
  </si>
  <si>
    <t>pat0304_section2</t>
  </si>
  <si>
    <t>pat0305_section1</t>
  </si>
  <si>
    <t>pat0306_section1</t>
  </si>
  <si>
    <t>pat0306_section2</t>
  </si>
  <si>
    <t>pat0307_section1</t>
  </si>
  <si>
    <t>pat0307_section2</t>
  </si>
  <si>
    <t>pat0308_section1</t>
  </si>
  <si>
    <t>pat0308_section2</t>
  </si>
  <si>
    <t>pat0309_section1</t>
  </si>
  <si>
    <t>pat0309_section2</t>
  </si>
  <si>
    <t>pat0310_section1</t>
  </si>
  <si>
    <t>pat0310_section2</t>
  </si>
  <si>
    <t>pat0311_section1</t>
  </si>
  <si>
    <t>pat0311_section2</t>
  </si>
  <si>
    <t>pat0312_section1</t>
  </si>
  <si>
    <t>pat0312_section2</t>
  </si>
  <si>
    <t>pat0313_section1</t>
  </si>
  <si>
    <t>pat0313_section2</t>
  </si>
  <si>
    <t>pat0314_section1</t>
  </si>
  <si>
    <t>pat0314_section2</t>
  </si>
  <si>
    <t>pat0315_section2</t>
  </si>
  <si>
    <t>pat0316_section2</t>
  </si>
  <si>
    <t>pat0317_section2</t>
  </si>
  <si>
    <t>pat0318_section2</t>
  </si>
  <si>
    <t>pat0319_section2</t>
  </si>
  <si>
    <t>pat0320_section2</t>
  </si>
  <si>
    <t>pat0401_section2</t>
  </si>
  <si>
    <t>04-03 Rectum UCEIS</t>
  </si>
  <si>
    <t>pat0403_section2</t>
  </si>
  <si>
    <t>04-05 Rectum UCEIS</t>
  </si>
  <si>
    <t>pat0405_section2</t>
  </si>
  <si>
    <t>pat0406_section1</t>
  </si>
  <si>
    <t>pat0406_section2</t>
  </si>
  <si>
    <t>pat0407_section1</t>
  </si>
  <si>
    <t>pat0407_section2</t>
  </si>
  <si>
    <t>pat0408_section1</t>
  </si>
  <si>
    <t>pat0408_section2</t>
  </si>
  <si>
    <t>pat0409_section2</t>
  </si>
  <si>
    <t>pat0410_section2</t>
  </si>
  <si>
    <t>pat0411_section2</t>
  </si>
  <si>
    <t>pat0412_section1</t>
  </si>
  <si>
    <t>pat0412_section2</t>
  </si>
  <si>
    <t>pat0413_section1</t>
  </si>
  <si>
    <t>pat0413_section2</t>
  </si>
  <si>
    <t>pat0414_section2</t>
  </si>
  <si>
    <t>pat0415_section2</t>
  </si>
  <si>
    <t>pat0416_section1</t>
  </si>
  <si>
    <t>pat0416_section2</t>
  </si>
  <si>
    <t>pat0417_section1</t>
  </si>
  <si>
    <t>pat0417_section2</t>
  </si>
  <si>
    <t>pat0418_section2</t>
  </si>
  <si>
    <t>pat0419_section1</t>
  </si>
  <si>
    <t>pat0419_section2</t>
  </si>
  <si>
    <t>pat0420_section1</t>
  </si>
  <si>
    <t>pat0420_section2</t>
  </si>
  <si>
    <t>pat0421_section1</t>
  </si>
  <si>
    <t>pat0421_section2</t>
  </si>
  <si>
    <t>pat0422_section1</t>
  </si>
  <si>
    <t>pat0422_section2</t>
  </si>
  <si>
    <t>pat0423_section1</t>
  </si>
  <si>
    <t>pat0423_section2</t>
  </si>
  <si>
    <t>pat0424_section1</t>
  </si>
  <si>
    <t>pat0424_section2</t>
  </si>
  <si>
    <t>pat0425_section1</t>
  </si>
  <si>
    <t>pat0425_section2</t>
  </si>
  <si>
    <t>pat0426_section2</t>
  </si>
  <si>
    <t>pat0427_section2</t>
  </si>
  <si>
    <t>pat0428_section2</t>
  </si>
  <si>
    <t>07-01 Rectum WL</t>
  </si>
  <si>
    <t>pat0701_section2</t>
  </si>
  <si>
    <t>07-05 Rectum WL</t>
  </si>
  <si>
    <t>pat0705_section2</t>
  </si>
  <si>
    <t>07-06 Rectum WL</t>
  </si>
  <si>
    <t>pat0706_section2</t>
  </si>
  <si>
    <t>07-07 Rectum WL</t>
  </si>
  <si>
    <t>pat0707_section2</t>
  </si>
  <si>
    <t>07-09 Rectum WL</t>
  </si>
  <si>
    <t>pat0709_section2</t>
  </si>
  <si>
    <t>pat0710_section2</t>
  </si>
  <si>
    <t>07-11 Rectum WL</t>
  </si>
  <si>
    <t>pat0711_section2</t>
  </si>
  <si>
    <t>07-12 Rectum WL</t>
  </si>
  <si>
    <t>pat0712_section2</t>
  </si>
  <si>
    <t>07-13 Rectum WL</t>
  </si>
  <si>
    <t>pat0713_section2</t>
  </si>
  <si>
    <t>pat0714_section2</t>
  </si>
  <si>
    <t>07-15 Rectum WL</t>
  </si>
  <si>
    <t>pat0715_section2</t>
  </si>
  <si>
    <t>07-16 Rectum WL</t>
  </si>
  <si>
    <t>pat0716_section2</t>
  </si>
  <si>
    <t>07-17 Rectum WL</t>
  </si>
  <si>
    <t>pat0717_section2</t>
  </si>
  <si>
    <t>07-18 Rectum WL</t>
  </si>
  <si>
    <t>pat0718_section2</t>
  </si>
  <si>
    <t>07-19 rectum wle+1</t>
  </si>
  <si>
    <t>07-19 sigmoid wle+1</t>
  </si>
  <si>
    <t>07-20 rectum wle+1</t>
  </si>
  <si>
    <t>07-20 sigmoid wle+1</t>
  </si>
  <si>
    <t>07-23 rectum wle+1</t>
  </si>
  <si>
    <t>07-23 sigmoid wle+1</t>
  </si>
  <si>
    <t>07-25 rectum wle+1</t>
  </si>
  <si>
    <t>07-25 sigmoid wle+1</t>
  </si>
  <si>
    <t>07-27 rectum wle+1</t>
  </si>
  <si>
    <t>07-27 sigmoid wle+1</t>
  </si>
  <si>
    <t>07-28 rectum wle+1</t>
  </si>
  <si>
    <t>07-28 sigmoid wle+1</t>
  </si>
  <si>
    <t>07-29 rectum wle+1</t>
  </si>
  <si>
    <t>07-29 sigmoid wle+1</t>
  </si>
  <si>
    <t>pat0731_section2</t>
  </si>
  <si>
    <t>07-37 Rectum WL</t>
  </si>
  <si>
    <t>pat0737_section2</t>
  </si>
  <si>
    <t>07-38 Rectum WL</t>
  </si>
  <si>
    <t>pat0738_section2</t>
  </si>
  <si>
    <t>07-39 Rectum WL</t>
  </si>
  <si>
    <t>pat0739_section2</t>
  </si>
  <si>
    <t>09-02 Rectum WLE_iscan1</t>
  </si>
  <si>
    <t>09-02 Sigmoid WLE_iscan1</t>
  </si>
  <si>
    <t>09-07 Rectum WLE_iscan1</t>
  </si>
  <si>
    <t>09-09 Rectum WLE_iscan_1</t>
  </si>
  <si>
    <t>09-09 Sigmoid WLE_iscan_1</t>
  </si>
  <si>
    <t>09-10 Rectum WLE_iscan_1</t>
  </si>
  <si>
    <t>09-10 Sigmoid WLE_iscan_1</t>
  </si>
  <si>
    <t>09-12 Rectum WLE_iscan_1</t>
  </si>
  <si>
    <t>09-12 sigmoid WLE_iscan1</t>
  </si>
  <si>
    <t>09-13 Rectum WLE_iscan_1</t>
  </si>
  <si>
    <t>09-13 Sigmoid WLE_iscan_1</t>
  </si>
  <si>
    <t>09-14 Rectum WLE_iscan_1</t>
  </si>
  <si>
    <t>09-14 Sigmoid WLE_iscan_1</t>
  </si>
  <si>
    <t>12-01 sigmoid WLE</t>
  </si>
  <si>
    <t>12-05 rectum WL</t>
  </si>
  <si>
    <t>12-05 sigmoid WL</t>
  </si>
  <si>
    <t>12-08 rectum WL</t>
  </si>
  <si>
    <t>12-08 sigmoid WL</t>
  </si>
  <si>
    <t>12-09 sigmoid WL</t>
  </si>
  <si>
    <t>12-10 rectum WL</t>
  </si>
  <si>
    <t>12-10 sigmoid WL</t>
  </si>
  <si>
    <t>12-14 rectum WL (no VCE)</t>
  </si>
  <si>
    <t>12-14 sigmoid WL</t>
  </si>
  <si>
    <t>12-16 rectum WL</t>
  </si>
  <si>
    <t>12-16 sigmoid WL</t>
  </si>
  <si>
    <t>12-17 rectum WL</t>
  </si>
  <si>
    <t>12-17 sigmoid WL</t>
  </si>
  <si>
    <t>12-18 rectum WL</t>
  </si>
  <si>
    <t>12-18 sigmoid WL</t>
  </si>
  <si>
    <t>12-19 rectum WL</t>
  </si>
  <si>
    <t>12-19 sigmoid WL</t>
  </si>
  <si>
    <t>12-21 rectum WL</t>
  </si>
  <si>
    <t>12-21 sigmoid WL</t>
  </si>
  <si>
    <t>12-22 rectum WLE</t>
  </si>
  <si>
    <t>12-22 sigmoid WL</t>
  </si>
  <si>
    <t>13-01 rectum WL</t>
  </si>
  <si>
    <t>13-01 sigmoid WL</t>
  </si>
  <si>
    <t>13-02 rectum WL</t>
  </si>
  <si>
    <t>13-02 sigmoid WL</t>
  </si>
  <si>
    <t>13-03 rectum WL</t>
  </si>
  <si>
    <t>13-03 sigmoid WL</t>
  </si>
  <si>
    <t>13-04 sigmoid WL</t>
  </si>
  <si>
    <t>pat1305_section1</t>
  </si>
  <si>
    <t>13-05 sigmoid WL</t>
  </si>
  <si>
    <t>13-06 rectum WL</t>
  </si>
  <si>
    <t>13-06 sigmoid WL</t>
  </si>
  <si>
    <t>13-07 rectum WL</t>
  </si>
  <si>
    <t>13-07 sigmoid WL</t>
  </si>
  <si>
    <t>13-08 rectum WLE</t>
  </si>
  <si>
    <t>13-08 sigmoid WLE</t>
  </si>
  <si>
    <t>13-09 rectum WLE1</t>
  </si>
  <si>
    <t>13-09 sigmoid WLE</t>
  </si>
  <si>
    <t>13-10 rectum WLE</t>
  </si>
  <si>
    <t>13-10 sigmoid WLE</t>
  </si>
  <si>
    <t>13-11 rectum WLE</t>
  </si>
  <si>
    <t>13-11 sigmoid  WLE</t>
  </si>
  <si>
    <t>13-12 rectum WLE</t>
  </si>
  <si>
    <t>13-12 sigmoid WLE</t>
  </si>
  <si>
    <t>13-13 rectum WLE</t>
  </si>
  <si>
    <t>13-13 sigmoid WLE</t>
  </si>
  <si>
    <t>13-14 rectum WLE</t>
  </si>
  <si>
    <t>13-14 sigmoid WLE</t>
  </si>
  <si>
    <t>13-15 rectum WLE</t>
  </si>
  <si>
    <t>13-15 sigmoid WLE</t>
  </si>
  <si>
    <t>13-16 rectum WLE</t>
  </si>
  <si>
    <t>13-16 sigmoid WLE</t>
  </si>
  <si>
    <t>13-17 rectum WLE</t>
  </si>
  <si>
    <t>13-17 sigmoid WLE</t>
  </si>
  <si>
    <t>13-18 rectum WLE</t>
  </si>
  <si>
    <t>13-18 sigmoid WLE</t>
  </si>
  <si>
    <t>13-19 rectum WLE</t>
  </si>
  <si>
    <t>13-19 sigmoid WLE</t>
  </si>
  <si>
    <t>13-20 rectum WLE</t>
  </si>
  <si>
    <t>13-20 sigmoid WLE</t>
  </si>
  <si>
    <t>13-21 rectum WLE</t>
  </si>
  <si>
    <t>13-21 sigmoid WLE</t>
  </si>
  <si>
    <t>13-22 rectum WLE</t>
  </si>
  <si>
    <t>13-22 sigmoid WLE</t>
  </si>
  <si>
    <t>13-23 rectum WLE</t>
  </si>
  <si>
    <t>13-24 rectum WLE</t>
  </si>
  <si>
    <t>13-24 sigmoid WLE</t>
  </si>
  <si>
    <t>13-25 rectum WLE</t>
  </si>
  <si>
    <t>13-25 sigmoid WLE</t>
  </si>
  <si>
    <t>13-26 rectum WLE</t>
  </si>
  <si>
    <t>13-26 sigmoid WLE</t>
  </si>
  <si>
    <t>13-27 rectum WLE</t>
  </si>
  <si>
    <t>13-27 sigmoid WLE</t>
  </si>
  <si>
    <t>PHRI</t>
  </si>
  <si>
    <t>RHI</t>
  </si>
  <si>
    <t>NHI</t>
  </si>
  <si>
    <t>UCEIS</t>
  </si>
  <si>
    <t>PICASSO</t>
  </si>
  <si>
    <t>Center</t>
  </si>
  <si>
    <t>Correl</t>
  </si>
  <si>
    <t>R. HIST</t>
  </si>
  <si>
    <t>R. ENDOS</t>
  </si>
  <si>
    <t>NO REMISIÓN HISTOLÓGICA</t>
  </si>
  <si>
    <t>REMISIÓN HISTOLÓGICA</t>
  </si>
  <si>
    <t>NO REMISIÓN ENDOSCÓPICA</t>
  </si>
  <si>
    <t>REMISIÓN ENDOSCÓPICA</t>
  </si>
  <si>
    <t>VP</t>
  </si>
  <si>
    <t>FP</t>
  </si>
  <si>
    <t>FN</t>
  </si>
  <si>
    <t>VN</t>
  </si>
  <si>
    <t>SENSIBILIDAD</t>
  </si>
  <si>
    <t>ESPECIFIDAD</t>
  </si>
  <si>
    <t>VPP</t>
  </si>
  <si>
    <t>Etiquetas de fila</t>
  </si>
  <si>
    <t>Total general</t>
  </si>
  <si>
    <t>Máx. de PICASSO</t>
  </si>
  <si>
    <t>Máx. de PHRI</t>
  </si>
  <si>
    <t>R. TOTAL</t>
  </si>
  <si>
    <t>PACIENTES R.TOTAL</t>
  </si>
  <si>
    <t>R ENDOS/ACT HIST</t>
  </si>
  <si>
    <t>ACT ENDOS/R. HIST</t>
  </si>
  <si>
    <t xml:space="preserve">ACT ENDOS/R. HIST </t>
  </si>
  <si>
    <t>DISCORDANCIAS</t>
  </si>
  <si>
    <t>ENDOS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</si>
</sst>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2" xfId="0" applyBorder="1"/>
    <xf numFmtId="0" fontId="0" fillId="0" borderId="3" xfId="0" applyBorder="1"/>
    <xf numFmtId="0" fontId="0" fillId="2" borderId="1" xfId="0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1" fillId="3" borderId="0" xfId="0" applyFont="1" applyFill="1" applyBorder="1"/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Relationship between PICASSO and PHRI scores with remission thresholds</a:t>
            </a:r>
            <a:endParaRPr lang="es-ES"/>
          </a:p>
        </c:rich>
      </c:tx>
      <c:layout>
        <c:manualLayout>
          <c:xMode val="edge"/>
          <c:yMode val="edge"/>
          <c:x val="0.11181306237988181"/>
          <c:y val="2.03108844750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PICASSO vs PHRI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tint val="65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Sheet1!$K$2:$K$361</c:f>
              <c:numCache>
                <c:formatCode>General</c:formatCode>
                <c:ptCount val="360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15</c:v>
                </c:pt>
                <c:pt idx="7">
                  <c:v>4</c:v>
                </c:pt>
                <c:pt idx="8">
                  <c:v>13</c:v>
                </c:pt>
                <c:pt idx="9">
                  <c:v>7</c:v>
                </c:pt>
                <c:pt idx="10">
                  <c:v>14</c:v>
                </c:pt>
                <c:pt idx="11">
                  <c:v>2</c:v>
                </c:pt>
                <c:pt idx="12">
                  <c:v>13</c:v>
                </c:pt>
                <c:pt idx="13">
                  <c:v>13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</c:v>
                </c:pt>
                <c:pt idx="18">
                  <c:v>0</c:v>
                </c:pt>
                <c:pt idx="19">
                  <c:v>0</c:v>
                </c:pt>
                <c:pt idx="20">
                  <c:v>10</c:v>
                </c:pt>
                <c:pt idx="21">
                  <c:v>6</c:v>
                </c:pt>
                <c:pt idx="22">
                  <c:v>0</c:v>
                </c:pt>
                <c:pt idx="23">
                  <c:v>11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8</c:v>
                </c:pt>
                <c:pt idx="30">
                  <c:v>8</c:v>
                </c:pt>
                <c:pt idx="31">
                  <c:v>1</c:v>
                </c:pt>
                <c:pt idx="32">
                  <c:v>0</c:v>
                </c:pt>
                <c:pt idx="33">
                  <c:v>11</c:v>
                </c:pt>
                <c:pt idx="34">
                  <c:v>3</c:v>
                </c:pt>
                <c:pt idx="35">
                  <c:v>13</c:v>
                </c:pt>
                <c:pt idx="36">
                  <c:v>13</c:v>
                </c:pt>
                <c:pt idx="37">
                  <c:v>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12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4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2</c:v>
                </c:pt>
                <c:pt idx="70">
                  <c:v>1</c:v>
                </c:pt>
                <c:pt idx="71">
                  <c:v>15</c:v>
                </c:pt>
                <c:pt idx="72">
                  <c:v>10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7</c:v>
                </c:pt>
                <c:pt idx="77">
                  <c:v>0</c:v>
                </c:pt>
                <c:pt idx="78">
                  <c:v>3</c:v>
                </c:pt>
                <c:pt idx="79">
                  <c:v>5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5</c:v>
                </c:pt>
                <c:pt idx="97">
                  <c:v>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8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9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2</c:v>
                </c:pt>
                <c:pt idx="135">
                  <c:v>2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2</c:v>
                </c:pt>
                <c:pt idx="153">
                  <c:v>0</c:v>
                </c:pt>
                <c:pt idx="154">
                  <c:v>2</c:v>
                </c:pt>
                <c:pt idx="155">
                  <c:v>2</c:v>
                </c:pt>
                <c:pt idx="156">
                  <c:v>0</c:v>
                </c:pt>
                <c:pt idx="157">
                  <c:v>0</c:v>
                </c:pt>
                <c:pt idx="158">
                  <c:v>2</c:v>
                </c:pt>
                <c:pt idx="159">
                  <c:v>0</c:v>
                </c:pt>
                <c:pt idx="160">
                  <c:v>2</c:v>
                </c:pt>
                <c:pt idx="161">
                  <c:v>8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0</c:v>
                </c:pt>
                <c:pt idx="167">
                  <c:v>2</c:v>
                </c:pt>
                <c:pt idx="168">
                  <c:v>0</c:v>
                </c:pt>
                <c:pt idx="169">
                  <c:v>0</c:v>
                </c:pt>
                <c:pt idx="170">
                  <c:v>5</c:v>
                </c:pt>
                <c:pt idx="171">
                  <c:v>6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7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2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11</c:v>
                </c:pt>
                <c:pt idx="185">
                  <c:v>0</c:v>
                </c:pt>
                <c:pt idx="186">
                  <c:v>0</c:v>
                </c:pt>
                <c:pt idx="187">
                  <c:v>12</c:v>
                </c:pt>
                <c:pt idx="188">
                  <c:v>3</c:v>
                </c:pt>
                <c:pt idx="189">
                  <c:v>3</c:v>
                </c:pt>
                <c:pt idx="190">
                  <c:v>0</c:v>
                </c:pt>
                <c:pt idx="191">
                  <c:v>9</c:v>
                </c:pt>
                <c:pt idx="192">
                  <c:v>3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</c:v>
                </c:pt>
                <c:pt idx="198">
                  <c:v>7</c:v>
                </c:pt>
                <c:pt idx="199">
                  <c:v>0</c:v>
                </c:pt>
                <c:pt idx="200">
                  <c:v>0</c:v>
                </c:pt>
                <c:pt idx="201">
                  <c:v>4</c:v>
                </c:pt>
                <c:pt idx="202">
                  <c:v>2</c:v>
                </c:pt>
                <c:pt idx="203">
                  <c:v>4</c:v>
                </c:pt>
                <c:pt idx="204">
                  <c:v>0</c:v>
                </c:pt>
                <c:pt idx="205">
                  <c:v>6</c:v>
                </c:pt>
                <c:pt idx="206">
                  <c:v>1</c:v>
                </c:pt>
                <c:pt idx="207">
                  <c:v>0</c:v>
                </c:pt>
                <c:pt idx="208">
                  <c:v>7</c:v>
                </c:pt>
                <c:pt idx="209">
                  <c:v>0</c:v>
                </c:pt>
                <c:pt idx="210">
                  <c:v>0</c:v>
                </c:pt>
                <c:pt idx="211">
                  <c:v>10</c:v>
                </c:pt>
                <c:pt idx="212">
                  <c:v>10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14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0</c:v>
                </c:pt>
                <c:pt idx="230">
                  <c:v>13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1</c:v>
                </c:pt>
                <c:pt idx="240">
                  <c:v>4</c:v>
                </c:pt>
                <c:pt idx="241">
                  <c:v>0</c:v>
                </c:pt>
                <c:pt idx="242">
                  <c:v>3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2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0</c:v>
                </c:pt>
                <c:pt idx="255">
                  <c:v>1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2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2</c:v>
                </c:pt>
                <c:pt idx="277">
                  <c:v>2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</c:v>
                </c:pt>
                <c:pt idx="286">
                  <c:v>1</c:v>
                </c:pt>
                <c:pt idx="287">
                  <c:v>0</c:v>
                </c:pt>
                <c:pt idx="288">
                  <c:v>6</c:v>
                </c:pt>
                <c:pt idx="289">
                  <c:v>0</c:v>
                </c:pt>
                <c:pt idx="290">
                  <c:v>9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15</c:v>
                </c:pt>
                <c:pt idx="295">
                  <c:v>15</c:v>
                </c:pt>
                <c:pt idx="296">
                  <c:v>3</c:v>
                </c:pt>
                <c:pt idx="297">
                  <c:v>12</c:v>
                </c:pt>
                <c:pt idx="298">
                  <c:v>0</c:v>
                </c:pt>
                <c:pt idx="299">
                  <c:v>0</c:v>
                </c:pt>
                <c:pt idx="300">
                  <c:v>3</c:v>
                </c:pt>
                <c:pt idx="301">
                  <c:v>6</c:v>
                </c:pt>
                <c:pt idx="302">
                  <c:v>3</c:v>
                </c:pt>
                <c:pt idx="303">
                  <c:v>0</c:v>
                </c:pt>
                <c:pt idx="304">
                  <c:v>15</c:v>
                </c:pt>
                <c:pt idx="305">
                  <c:v>15</c:v>
                </c:pt>
                <c:pt idx="306">
                  <c:v>10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1</c:v>
                </c:pt>
                <c:pt idx="311">
                  <c:v>8</c:v>
                </c:pt>
                <c:pt idx="312">
                  <c:v>0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4</c:v>
                </c:pt>
                <c:pt idx="317">
                  <c:v>7</c:v>
                </c:pt>
                <c:pt idx="318">
                  <c:v>4</c:v>
                </c:pt>
                <c:pt idx="319">
                  <c:v>8</c:v>
                </c:pt>
                <c:pt idx="320">
                  <c:v>5</c:v>
                </c:pt>
                <c:pt idx="321">
                  <c:v>1</c:v>
                </c:pt>
                <c:pt idx="322">
                  <c:v>8</c:v>
                </c:pt>
                <c:pt idx="323">
                  <c:v>14</c:v>
                </c:pt>
                <c:pt idx="324">
                  <c:v>8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3</c:v>
                </c:pt>
                <c:pt idx="332">
                  <c:v>1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3</c:v>
                </c:pt>
                <c:pt idx="338">
                  <c:v>1</c:v>
                </c:pt>
                <c:pt idx="339">
                  <c:v>3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5</c:v>
                </c:pt>
                <c:pt idx="345">
                  <c:v>1</c:v>
                </c:pt>
                <c:pt idx="346">
                  <c:v>9</c:v>
                </c:pt>
                <c:pt idx="347">
                  <c:v>1</c:v>
                </c:pt>
                <c:pt idx="348">
                  <c:v>0</c:v>
                </c:pt>
                <c:pt idx="349">
                  <c:v>0</c:v>
                </c:pt>
                <c:pt idx="350">
                  <c:v>8</c:v>
                </c:pt>
                <c:pt idx="351">
                  <c:v>0</c:v>
                </c:pt>
                <c:pt idx="352">
                  <c:v>1</c:v>
                </c:pt>
                <c:pt idx="353">
                  <c:v>0</c:v>
                </c:pt>
                <c:pt idx="354">
                  <c:v>1</c:v>
                </c:pt>
                <c:pt idx="355">
                  <c:v>0</c:v>
                </c:pt>
                <c:pt idx="356">
                  <c:v>2</c:v>
                </c:pt>
                <c:pt idx="357">
                  <c:v>1</c:v>
                </c:pt>
                <c:pt idx="358">
                  <c:v>15</c:v>
                </c:pt>
                <c:pt idx="359">
                  <c:v>3</c:v>
                </c:pt>
              </c:numCache>
            </c:numRef>
          </c:xVal>
          <c:yVal>
            <c:numRef>
              <c:f>Sheet1!$G$2:$G$361</c:f>
              <c:numCache>
                <c:formatCode>General</c:formatCode>
                <c:ptCount val="360"/>
                <c:pt idx="0">
                  <c:v>3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2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1">
                  <c:v>0</c:v>
                </c:pt>
                <c:pt idx="12">
                  <c:v>3</c:v>
                </c:pt>
                <c:pt idx="13">
                  <c:v>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4</c:v>
                </c:pt>
                <c:pt idx="21">
                  <c:v>4</c:v>
                </c:pt>
                <c:pt idx="22">
                  <c:v>0</c:v>
                </c:pt>
                <c:pt idx="23">
                  <c:v>4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</c:v>
                </c:pt>
                <c:pt idx="31">
                  <c:v>2</c:v>
                </c:pt>
                <c:pt idx="32">
                  <c:v>0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3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4</c:v>
                </c:pt>
                <c:pt idx="72">
                  <c:v>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</c:v>
                </c:pt>
                <c:pt idx="77">
                  <c:v>0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3</c:v>
                </c:pt>
                <c:pt idx="97">
                  <c:v>4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4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3</c:v>
                </c:pt>
                <c:pt idx="149">
                  <c:v>0</c:v>
                </c:pt>
                <c:pt idx="150">
                  <c:v>2</c:v>
                </c:pt>
                <c:pt idx="151">
                  <c:v>2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</c:v>
                </c:pt>
                <c:pt idx="160">
                  <c:v>1</c:v>
                </c:pt>
                <c:pt idx="161">
                  <c:v>3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3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</c:v>
                </c:pt>
                <c:pt idx="185">
                  <c:v>0</c:v>
                </c:pt>
                <c:pt idx="186">
                  <c:v>0</c:v>
                </c:pt>
                <c:pt idx="187">
                  <c:v>3</c:v>
                </c:pt>
                <c:pt idx="188">
                  <c:v>4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3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4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</c:v>
                </c:pt>
                <c:pt idx="206">
                  <c:v>0</c:v>
                </c:pt>
                <c:pt idx="207">
                  <c:v>0</c:v>
                </c:pt>
                <c:pt idx="208">
                  <c:v>4</c:v>
                </c:pt>
                <c:pt idx="209">
                  <c:v>0</c:v>
                </c:pt>
                <c:pt idx="210">
                  <c:v>0</c:v>
                </c:pt>
                <c:pt idx="211">
                  <c:v>3</c:v>
                </c:pt>
                <c:pt idx="212">
                  <c:v>4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4</c:v>
                </c:pt>
                <c:pt idx="226">
                  <c:v>1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3</c:v>
                </c:pt>
                <c:pt idx="231">
                  <c:v>0</c:v>
                </c:pt>
                <c:pt idx="232">
                  <c:v>2</c:v>
                </c:pt>
                <c:pt idx="233">
                  <c:v>0</c:v>
                </c:pt>
                <c:pt idx="234">
                  <c:v>0</c:v>
                </c:pt>
                <c:pt idx="235">
                  <c:v>4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2</c:v>
                </c:pt>
                <c:pt idx="240">
                  <c:v>4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4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3</c:v>
                </c:pt>
                <c:pt idx="285">
                  <c:v>4</c:v>
                </c:pt>
                <c:pt idx="286">
                  <c:v>3</c:v>
                </c:pt>
                <c:pt idx="287">
                  <c:v>0</c:v>
                </c:pt>
                <c:pt idx="288">
                  <c:v>4</c:v>
                </c:pt>
                <c:pt idx="289">
                  <c:v>0</c:v>
                </c:pt>
                <c:pt idx="290">
                  <c:v>4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4</c:v>
                </c:pt>
                <c:pt idx="295">
                  <c:v>4</c:v>
                </c:pt>
                <c:pt idx="296">
                  <c:v>2</c:v>
                </c:pt>
                <c:pt idx="297">
                  <c:v>2</c:v>
                </c:pt>
                <c:pt idx="298">
                  <c:v>0</c:v>
                </c:pt>
                <c:pt idx="299">
                  <c:v>0</c:v>
                </c:pt>
                <c:pt idx="300">
                  <c:v>2</c:v>
                </c:pt>
                <c:pt idx="301">
                  <c:v>3</c:v>
                </c:pt>
                <c:pt idx="302">
                  <c:v>0</c:v>
                </c:pt>
                <c:pt idx="303">
                  <c:v>0</c:v>
                </c:pt>
                <c:pt idx="304">
                  <c:v>2</c:v>
                </c:pt>
                <c:pt idx="305">
                  <c:v>2</c:v>
                </c:pt>
                <c:pt idx="306">
                  <c:v>4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3</c:v>
                </c:pt>
                <c:pt idx="311">
                  <c:v>4</c:v>
                </c:pt>
                <c:pt idx="312">
                  <c:v>0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3</c:v>
                </c:pt>
                <c:pt idx="320">
                  <c:v>4</c:v>
                </c:pt>
                <c:pt idx="321">
                  <c:v>1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2</c:v>
                </c:pt>
                <c:pt idx="338">
                  <c:v>4</c:v>
                </c:pt>
                <c:pt idx="339">
                  <c:v>3</c:v>
                </c:pt>
                <c:pt idx="340">
                  <c:v>0</c:v>
                </c:pt>
                <c:pt idx="341">
                  <c:v>2</c:v>
                </c:pt>
                <c:pt idx="342">
                  <c:v>0</c:v>
                </c:pt>
                <c:pt idx="343">
                  <c:v>0</c:v>
                </c:pt>
                <c:pt idx="344">
                  <c:v>1</c:v>
                </c:pt>
                <c:pt idx="345">
                  <c:v>1</c:v>
                </c:pt>
                <c:pt idx="346">
                  <c:v>4</c:v>
                </c:pt>
                <c:pt idx="347">
                  <c:v>3</c:v>
                </c:pt>
                <c:pt idx="348">
                  <c:v>0</c:v>
                </c:pt>
                <c:pt idx="349">
                  <c:v>1</c:v>
                </c:pt>
                <c:pt idx="350">
                  <c:v>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1</c:v>
                </c:pt>
                <c:pt idx="357">
                  <c:v>2</c:v>
                </c:pt>
                <c:pt idx="358">
                  <c:v>4</c:v>
                </c:pt>
                <c:pt idx="359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51-4AEA-9A3B-7390D5B2265B}"/>
            </c:ext>
          </c:extLst>
        </c:ser>
        <c:ser>
          <c:idx val="1"/>
          <c:order val="1"/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50000"/>
                </a:schemeClr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Sheet1!$Q$47:$Q$48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xVal>
          <c:yVal>
            <c:numRef>
              <c:f>Sheet1!$R$47:$R$48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A51-4AEA-9A3B-7390D5B2265B}"/>
            </c:ext>
          </c:extLst>
        </c:ser>
        <c:ser>
          <c:idx val="2"/>
          <c:order val="2"/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shade val="65000"/>
                </a:schemeClr>
              </a:solidFill>
              <a:ln w="9525">
                <a:solidFill>
                  <a:srgbClr val="C00000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noFill/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3A51-4AEA-9A3B-7390D5B2265B}"/>
              </c:ext>
            </c:extLst>
          </c:dPt>
          <c:xVal>
            <c:numRef>
              <c:f>Sheet1!$U$47:$U$48</c:f>
              <c:numCache>
                <c:formatCode>General</c:formatCode>
                <c:ptCount val="2"/>
                <c:pt idx="0">
                  <c:v>0</c:v>
                </c:pt>
                <c:pt idx="1">
                  <c:v>15</c:v>
                </c:pt>
              </c:numCache>
            </c:numRef>
          </c:xVal>
          <c:yVal>
            <c:numRef>
              <c:f>Sheet1!$V$47:$V$48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A51-4AEA-9A3B-7390D5B22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186063"/>
        <c:axId val="1857187023"/>
      </c:scatterChart>
      <c:valAx>
        <c:axId val="185718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PICASSO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57187023"/>
        <c:crosses val="autoZero"/>
        <c:crossBetween val="midCat"/>
      </c:valAx>
      <c:valAx>
        <c:axId val="185718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PHRI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5718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Distribution of PHRI scores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Sheet1!$Q$72:$Q$76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Sheet1!$R$72:$R$76</c:f>
              <c:numCache>
                <c:formatCode>General</c:formatCode>
                <c:ptCount val="5"/>
                <c:pt idx="0">
                  <c:v>253</c:v>
                </c:pt>
                <c:pt idx="1">
                  <c:v>15</c:v>
                </c:pt>
                <c:pt idx="2">
                  <c:v>22</c:v>
                </c:pt>
                <c:pt idx="3">
                  <c:v>28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5D-4AC1-9D26-79BF0BE87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1857167823"/>
        <c:axId val="1857187983"/>
      </c:barChart>
      <c:catAx>
        <c:axId val="1857167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PHRI</a:t>
                </a:r>
                <a:r>
                  <a:rPr lang="es-ES" baseline="0"/>
                  <a:t> Score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57187983"/>
        <c:crosses val="autoZero"/>
        <c:auto val="1"/>
        <c:lblAlgn val="ctr"/>
        <c:lblOffset val="100"/>
        <c:noMultiLvlLbl val="0"/>
      </c:catAx>
      <c:valAx>
        <c:axId val="185718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5716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Distribution of PICASSO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Sheet1!$U$72:$U$87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Sheet1!$V$72:$V$87</c:f>
              <c:numCache>
                <c:formatCode>General</c:formatCode>
                <c:ptCount val="16"/>
                <c:pt idx="0">
                  <c:v>219</c:v>
                </c:pt>
                <c:pt idx="1">
                  <c:v>38</c:v>
                </c:pt>
                <c:pt idx="2">
                  <c:v>21</c:v>
                </c:pt>
                <c:pt idx="3">
                  <c:v>13</c:v>
                </c:pt>
                <c:pt idx="4">
                  <c:v>7</c:v>
                </c:pt>
                <c:pt idx="5">
                  <c:v>8</c:v>
                </c:pt>
                <c:pt idx="6">
                  <c:v>5</c:v>
                </c:pt>
                <c:pt idx="7">
                  <c:v>7</c:v>
                </c:pt>
                <c:pt idx="8">
                  <c:v>9</c:v>
                </c:pt>
                <c:pt idx="9">
                  <c:v>4</c:v>
                </c:pt>
                <c:pt idx="10">
                  <c:v>6</c:v>
                </c:pt>
                <c:pt idx="11">
                  <c:v>3</c:v>
                </c:pt>
                <c:pt idx="12">
                  <c:v>3</c:v>
                </c:pt>
                <c:pt idx="13">
                  <c:v>7</c:v>
                </c:pt>
                <c:pt idx="14">
                  <c:v>3</c:v>
                </c:pt>
                <c:pt idx="1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78-43E2-B4C3-C025F9876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1857164943"/>
        <c:axId val="1857165903"/>
      </c:barChart>
      <c:catAx>
        <c:axId val="1857164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PICASSO</a:t>
                </a:r>
                <a:r>
                  <a:rPr lang="es-ES" baseline="0"/>
                  <a:t> Score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57165903"/>
        <c:crosses val="autoZero"/>
        <c:auto val="1"/>
        <c:lblAlgn val="ctr"/>
        <c:lblOffset val="100"/>
        <c:noMultiLvlLbl val="0"/>
      </c:catAx>
      <c:valAx>
        <c:axId val="185716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5716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Relationship between PICASSO and PHRI scores with remission thresholds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Hoja2!$B$4:$B$209</c:f>
              <c:numCache>
                <c:formatCode>General</c:formatCode>
                <c:ptCount val="206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15</c:v>
                </c:pt>
                <c:pt idx="4">
                  <c:v>13</c:v>
                </c:pt>
                <c:pt idx="5">
                  <c:v>14</c:v>
                </c:pt>
                <c:pt idx="6">
                  <c:v>13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10</c:v>
                </c:pt>
                <c:pt idx="11">
                  <c:v>0</c:v>
                </c:pt>
                <c:pt idx="12">
                  <c:v>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8</c:v>
                </c:pt>
                <c:pt idx="18">
                  <c:v>1</c:v>
                </c:pt>
                <c:pt idx="19">
                  <c:v>11</c:v>
                </c:pt>
                <c:pt idx="20">
                  <c:v>13</c:v>
                </c:pt>
                <c:pt idx="21">
                  <c:v>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12</c:v>
                </c:pt>
                <c:pt idx="29">
                  <c:v>0</c:v>
                </c:pt>
                <c:pt idx="30">
                  <c:v>1</c:v>
                </c:pt>
                <c:pt idx="31">
                  <c:v>4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15</c:v>
                </c:pt>
                <c:pt idx="42">
                  <c:v>0</c:v>
                </c:pt>
                <c:pt idx="43">
                  <c:v>1</c:v>
                </c:pt>
                <c:pt idx="44">
                  <c:v>7</c:v>
                </c:pt>
                <c:pt idx="45">
                  <c:v>5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7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8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10</c:v>
                </c:pt>
                <c:pt idx="88">
                  <c:v>0</c:v>
                </c:pt>
                <c:pt idx="89">
                  <c:v>2</c:v>
                </c:pt>
                <c:pt idx="90">
                  <c:v>2</c:v>
                </c:pt>
                <c:pt idx="91">
                  <c:v>0</c:v>
                </c:pt>
                <c:pt idx="92">
                  <c:v>2</c:v>
                </c:pt>
                <c:pt idx="93">
                  <c:v>0</c:v>
                </c:pt>
                <c:pt idx="94">
                  <c:v>8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0</c:v>
                </c:pt>
                <c:pt idx="99">
                  <c:v>6</c:v>
                </c:pt>
                <c:pt idx="100">
                  <c:v>0</c:v>
                </c:pt>
                <c:pt idx="101">
                  <c:v>0</c:v>
                </c:pt>
                <c:pt idx="102">
                  <c:v>7</c:v>
                </c:pt>
                <c:pt idx="103">
                  <c:v>0</c:v>
                </c:pt>
                <c:pt idx="104">
                  <c:v>0</c:v>
                </c:pt>
                <c:pt idx="105">
                  <c:v>2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11</c:v>
                </c:pt>
                <c:pt idx="110">
                  <c:v>0</c:v>
                </c:pt>
                <c:pt idx="111">
                  <c:v>12</c:v>
                </c:pt>
                <c:pt idx="112">
                  <c:v>3</c:v>
                </c:pt>
                <c:pt idx="113">
                  <c:v>9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5</c:v>
                </c:pt>
                <c:pt idx="118">
                  <c:v>7</c:v>
                </c:pt>
                <c:pt idx="119">
                  <c:v>4</c:v>
                </c:pt>
                <c:pt idx="120">
                  <c:v>2</c:v>
                </c:pt>
                <c:pt idx="121">
                  <c:v>4</c:v>
                </c:pt>
                <c:pt idx="122">
                  <c:v>6</c:v>
                </c:pt>
                <c:pt idx="123">
                  <c:v>1</c:v>
                </c:pt>
                <c:pt idx="124">
                  <c:v>7</c:v>
                </c:pt>
                <c:pt idx="125">
                  <c:v>0</c:v>
                </c:pt>
                <c:pt idx="126">
                  <c:v>10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14</c:v>
                </c:pt>
                <c:pt idx="135">
                  <c:v>1</c:v>
                </c:pt>
                <c:pt idx="136">
                  <c:v>1</c:v>
                </c:pt>
                <c:pt idx="137">
                  <c:v>13</c:v>
                </c:pt>
                <c:pt idx="138">
                  <c:v>0</c:v>
                </c:pt>
                <c:pt idx="139">
                  <c:v>1</c:v>
                </c:pt>
                <c:pt idx="140">
                  <c:v>0</c:v>
                </c:pt>
                <c:pt idx="141">
                  <c:v>0</c:v>
                </c:pt>
                <c:pt idx="142">
                  <c:v>4</c:v>
                </c:pt>
                <c:pt idx="143">
                  <c:v>3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2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2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2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1</c:v>
                </c:pt>
                <c:pt idx="168">
                  <c:v>6</c:v>
                </c:pt>
                <c:pt idx="169">
                  <c:v>9</c:v>
                </c:pt>
                <c:pt idx="170">
                  <c:v>0</c:v>
                </c:pt>
                <c:pt idx="171">
                  <c:v>0</c:v>
                </c:pt>
                <c:pt idx="172">
                  <c:v>15</c:v>
                </c:pt>
                <c:pt idx="173">
                  <c:v>12</c:v>
                </c:pt>
                <c:pt idx="174">
                  <c:v>0</c:v>
                </c:pt>
                <c:pt idx="175">
                  <c:v>6</c:v>
                </c:pt>
                <c:pt idx="176">
                  <c:v>3</c:v>
                </c:pt>
                <c:pt idx="177">
                  <c:v>15</c:v>
                </c:pt>
                <c:pt idx="178">
                  <c:v>10</c:v>
                </c:pt>
                <c:pt idx="179">
                  <c:v>0</c:v>
                </c:pt>
                <c:pt idx="180">
                  <c:v>8</c:v>
                </c:pt>
                <c:pt idx="181">
                  <c:v>0</c:v>
                </c:pt>
                <c:pt idx="182">
                  <c:v>1</c:v>
                </c:pt>
                <c:pt idx="183">
                  <c:v>4</c:v>
                </c:pt>
                <c:pt idx="184">
                  <c:v>7</c:v>
                </c:pt>
                <c:pt idx="185">
                  <c:v>8</c:v>
                </c:pt>
                <c:pt idx="186">
                  <c:v>8</c:v>
                </c:pt>
                <c:pt idx="187">
                  <c:v>14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3</c:v>
                </c:pt>
                <c:pt idx="192">
                  <c:v>0</c:v>
                </c:pt>
                <c:pt idx="193">
                  <c:v>0</c:v>
                </c:pt>
                <c:pt idx="194">
                  <c:v>3</c:v>
                </c:pt>
                <c:pt idx="195">
                  <c:v>3</c:v>
                </c:pt>
                <c:pt idx="196">
                  <c:v>1</c:v>
                </c:pt>
                <c:pt idx="197">
                  <c:v>5</c:v>
                </c:pt>
                <c:pt idx="198">
                  <c:v>9</c:v>
                </c:pt>
                <c:pt idx="199">
                  <c:v>1</c:v>
                </c:pt>
                <c:pt idx="200">
                  <c:v>8</c:v>
                </c:pt>
                <c:pt idx="201">
                  <c:v>0</c:v>
                </c:pt>
                <c:pt idx="202">
                  <c:v>1</c:v>
                </c:pt>
                <c:pt idx="203">
                  <c:v>1</c:v>
                </c:pt>
                <c:pt idx="204">
                  <c:v>2</c:v>
                </c:pt>
                <c:pt idx="205">
                  <c:v>15</c:v>
                </c:pt>
              </c:numCache>
            </c:numRef>
          </c:xVal>
          <c:yVal>
            <c:numRef>
              <c:f>Hoja2!$C$4:$C$209</c:f>
              <c:numCache>
                <c:formatCode>General</c:formatCode>
                <c:ptCount val="206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4</c:v>
                </c:pt>
                <c:pt idx="11">
                  <c:v>0</c:v>
                </c:pt>
                <c:pt idx="12">
                  <c:v>4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2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0</c:v>
                </c:pt>
                <c:pt idx="28">
                  <c:v>3</c:v>
                </c:pt>
                <c:pt idx="29">
                  <c:v>0</c:v>
                </c:pt>
                <c:pt idx="30">
                  <c:v>0</c:v>
                </c:pt>
                <c:pt idx="31">
                  <c:v>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</c:v>
                </c:pt>
                <c:pt idx="42">
                  <c:v>0</c:v>
                </c:pt>
                <c:pt idx="43">
                  <c:v>0</c:v>
                </c:pt>
                <c:pt idx="44">
                  <c:v>4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</c:v>
                </c:pt>
                <c:pt idx="53">
                  <c:v>0</c:v>
                </c:pt>
                <c:pt idx="54">
                  <c:v>0</c:v>
                </c:pt>
                <c:pt idx="55">
                  <c:v>4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4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4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3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3</c:v>
                </c:pt>
                <c:pt idx="100">
                  <c:v>3</c:v>
                </c:pt>
                <c:pt idx="101">
                  <c:v>0</c:v>
                </c:pt>
                <c:pt idx="102">
                  <c:v>3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4</c:v>
                </c:pt>
                <c:pt idx="110">
                  <c:v>0</c:v>
                </c:pt>
                <c:pt idx="111">
                  <c:v>4</c:v>
                </c:pt>
                <c:pt idx="112">
                  <c:v>0</c:v>
                </c:pt>
                <c:pt idx="113">
                  <c:v>0</c:v>
                </c:pt>
                <c:pt idx="114">
                  <c:v>3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4</c:v>
                </c:pt>
                <c:pt idx="123">
                  <c:v>0</c:v>
                </c:pt>
                <c:pt idx="124">
                  <c:v>4</c:v>
                </c:pt>
                <c:pt idx="125">
                  <c:v>0</c:v>
                </c:pt>
                <c:pt idx="126">
                  <c:v>4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4</c:v>
                </c:pt>
                <c:pt idx="135">
                  <c:v>1</c:v>
                </c:pt>
                <c:pt idx="136">
                  <c:v>0</c:v>
                </c:pt>
                <c:pt idx="137">
                  <c:v>3</c:v>
                </c:pt>
                <c:pt idx="138">
                  <c:v>2</c:v>
                </c:pt>
                <c:pt idx="139">
                  <c:v>4</c:v>
                </c:pt>
                <c:pt idx="140">
                  <c:v>0</c:v>
                </c:pt>
                <c:pt idx="141">
                  <c:v>0</c:v>
                </c:pt>
                <c:pt idx="142">
                  <c:v>4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2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4</c:v>
                </c:pt>
                <c:pt idx="164">
                  <c:v>0</c:v>
                </c:pt>
                <c:pt idx="165">
                  <c:v>0</c:v>
                </c:pt>
                <c:pt idx="166">
                  <c:v>4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0</c:v>
                </c:pt>
                <c:pt idx="171">
                  <c:v>0</c:v>
                </c:pt>
                <c:pt idx="172">
                  <c:v>4</c:v>
                </c:pt>
                <c:pt idx="173">
                  <c:v>2</c:v>
                </c:pt>
                <c:pt idx="174">
                  <c:v>0</c:v>
                </c:pt>
                <c:pt idx="175">
                  <c:v>3</c:v>
                </c:pt>
                <c:pt idx="176">
                  <c:v>0</c:v>
                </c:pt>
                <c:pt idx="177">
                  <c:v>2</c:v>
                </c:pt>
                <c:pt idx="178">
                  <c:v>4</c:v>
                </c:pt>
                <c:pt idx="179">
                  <c:v>0</c:v>
                </c:pt>
                <c:pt idx="180">
                  <c:v>4</c:v>
                </c:pt>
                <c:pt idx="181">
                  <c:v>0</c:v>
                </c:pt>
                <c:pt idx="182">
                  <c:v>1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2</c:v>
                </c:pt>
                <c:pt idx="187">
                  <c:v>2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4</c:v>
                </c:pt>
                <c:pt idx="195">
                  <c:v>3</c:v>
                </c:pt>
                <c:pt idx="196">
                  <c:v>2</c:v>
                </c:pt>
                <c:pt idx="197">
                  <c:v>1</c:v>
                </c:pt>
                <c:pt idx="198">
                  <c:v>4</c:v>
                </c:pt>
                <c:pt idx="199">
                  <c:v>3</c:v>
                </c:pt>
                <c:pt idx="200">
                  <c:v>4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2</c:v>
                </c:pt>
                <c:pt idx="20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BC-4BA6-B7CB-AE889A419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273568"/>
        <c:axId val="1187275488"/>
      </c:scatterChart>
      <c:valAx>
        <c:axId val="118727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PICASSO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87275488"/>
        <c:crosses val="autoZero"/>
        <c:crossBetween val="midCat"/>
      </c:valAx>
      <c:valAx>
        <c:axId val="118727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PHRI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87273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F0A73F2E-4615-4514-920E-C942A504D0C5}">
          <cx:dataId val="0"/>
          <cx:layoutPr>
            <cx:binning intervalClosed="r">
              <cx:binCount val="4"/>
            </cx:binning>
          </cx:layoutPr>
        </cx:series>
      </cx:plotAreaRegion>
      <cx:axis id="0">
        <cx:catScaling gapWidth="0"/>
        <cx:tickLabels/>
        <cx:numFmt formatCode="Estándar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620953</xdr:colOff>
      <xdr:row>24</xdr:row>
      <xdr:rowOff>4528</xdr:rowOff>
    </xdr:from>
    <xdr:to>
      <xdr:col>23</xdr:col>
      <xdr:colOff>114911</xdr:colOff>
      <xdr:row>44</xdr:row>
      <xdr:rowOff>170329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7B5F9E4-E858-2ED6-6819-ED10F0B68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121022</xdr:colOff>
      <xdr:row>337</xdr:row>
      <xdr:rowOff>80683</xdr:rowOff>
    </xdr:from>
    <xdr:to>
      <xdr:col>17</xdr:col>
      <xdr:colOff>1048871</xdr:colOff>
      <xdr:row>352</xdr:row>
      <xdr:rowOff>134471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A24F8632-C99E-69D8-739D-564C85F2C6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77442" y="61894123"/>
              <a:ext cx="3343389" cy="27969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16</xdr:col>
      <xdr:colOff>22412</xdr:colOff>
      <xdr:row>51</xdr:row>
      <xdr:rowOff>161364</xdr:rowOff>
    </xdr:from>
    <xdr:to>
      <xdr:col>18</xdr:col>
      <xdr:colOff>932329</xdr:colOff>
      <xdr:row>67</xdr:row>
      <xdr:rowOff>35858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C1F381E-FE5F-68AB-1A22-158A67E50A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623046</xdr:colOff>
      <xdr:row>52</xdr:row>
      <xdr:rowOff>1</xdr:rowOff>
    </xdr:from>
    <xdr:to>
      <xdr:col>27</xdr:col>
      <xdr:colOff>174811</xdr:colOff>
      <xdr:row>67</xdr:row>
      <xdr:rowOff>53789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3B56191-2F5C-8400-5901-3A16C898C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4467</xdr:colOff>
      <xdr:row>21</xdr:row>
      <xdr:rowOff>56362</xdr:rowOff>
    </xdr:from>
    <xdr:to>
      <xdr:col>18</xdr:col>
      <xdr:colOff>301384</xdr:colOff>
      <xdr:row>37</xdr:row>
      <xdr:rowOff>151613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61D3B9-4D60-498E-CBA8-34DA59A23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jandra García" refreshedDate="46065.773898611114" createdVersion="8" refreshedVersion="8" minRefreshableVersion="3" recordCount="360" xr:uid="{951D60D0-27C5-4647-B3E3-ADDBFEED2ECF}">
  <cacheSource type="worksheet">
    <worksheetSource ref="A1:M361" sheet="Sheet1"/>
  </cacheSource>
  <cacheFields count="13">
    <cacheField name="PatID" numFmtId="0">
      <sharedItems count="206">
        <s v="01_01"/>
        <s v="01_02"/>
        <s v="01_03"/>
        <s v="01_04"/>
        <s v="01_05"/>
        <s v="01_06"/>
        <s v="01_07"/>
        <s v="01_08"/>
        <s v="01_09"/>
        <s v="01_10"/>
        <s v="01_11"/>
        <s v="01_12"/>
        <s v="01_14"/>
        <s v="01_15"/>
        <s v="01_16"/>
        <s v="01_17"/>
        <s v="01_18"/>
        <s v="01_19"/>
        <s v="01_21"/>
        <s v="01_22"/>
        <s v="01_23"/>
        <s v="01_24"/>
        <s v="01_26"/>
        <s v="01_27"/>
        <s v="01_29"/>
        <s v="01_30"/>
        <s v="01_31"/>
        <s v="01_32"/>
        <s v="01_33"/>
        <s v="01_34"/>
        <s v="01_35"/>
        <s v="01_36"/>
        <s v="01_37"/>
        <s v="01_38"/>
        <s v="01_39"/>
        <s v="01_40"/>
        <s v="01_41"/>
        <s v="01_42"/>
        <s v="01_44"/>
        <s v="01_45"/>
        <s v="01_46"/>
        <s v="01_47"/>
        <s v="01_48"/>
        <s v="01_49"/>
        <s v="01_50"/>
        <s v="01_52"/>
        <s v="02_01"/>
        <s v="02_02"/>
        <s v="02_03"/>
        <s v="02_04"/>
        <s v="02_05"/>
        <s v="02_06"/>
        <s v="02_07"/>
        <s v="02_08"/>
        <s v="02_09"/>
        <s v="02_11"/>
        <s v="02_12"/>
        <s v="02_13"/>
        <s v="02_14"/>
        <s v="02_15"/>
        <s v="02_16"/>
        <s v="02_17"/>
        <s v="02_18"/>
        <s v="02_19"/>
        <s v="02_20"/>
        <s v="02_21"/>
        <s v="02_22"/>
        <s v="02_23"/>
        <s v="02_24"/>
        <s v="02_25"/>
        <s v="02_26"/>
        <s v="02_27"/>
        <s v="02_28"/>
        <s v="02_29"/>
        <s v="02_30"/>
        <s v="02_31"/>
        <s v="02_32"/>
        <s v="02_33"/>
        <s v="02_34"/>
        <s v="02_35"/>
        <s v="02_36"/>
        <s v="02_37"/>
        <s v="02_38"/>
        <s v="02_39"/>
        <s v="02_40"/>
        <s v="02_42"/>
        <s v="02_44"/>
        <s v="02_45"/>
        <s v="02_46"/>
        <s v="03_01"/>
        <s v="03_02"/>
        <s v="03_03"/>
        <s v="03_04"/>
        <s v="03_05"/>
        <s v="03_06"/>
        <s v="03_07"/>
        <s v="03_08"/>
        <s v="03_09"/>
        <s v="03_10"/>
        <s v="03_11"/>
        <s v="03_12"/>
        <s v="03_13"/>
        <s v="03_14"/>
        <s v="03_15"/>
        <s v="03_16"/>
        <s v="03_17"/>
        <s v="03_18"/>
        <s v="03_19"/>
        <s v="03_20"/>
        <s v="04_01"/>
        <s v="04_03"/>
        <s v="04_05"/>
        <s v="04_06"/>
        <s v="04_07"/>
        <s v="04_08"/>
        <s v="04_09"/>
        <s v="04_10"/>
        <s v="04_11"/>
        <s v="04_12"/>
        <s v="04_13"/>
        <s v="04_14"/>
        <s v="04_15"/>
        <s v="04_16"/>
        <s v="04_17"/>
        <s v="04_18"/>
        <s v="04_19"/>
        <s v="04_20"/>
        <s v="04_21"/>
        <s v="04_22"/>
        <s v="04_23"/>
        <s v="04_24"/>
        <s v="04_25"/>
        <s v="04_26"/>
        <s v="04_27"/>
        <s v="04_28"/>
        <s v="07_01"/>
        <s v="07_05"/>
        <s v="07_06"/>
        <s v="07_07"/>
        <s v="07_09"/>
        <s v="07_10"/>
        <s v="07_11"/>
        <s v="07_12"/>
        <s v="07_13"/>
        <s v="07_14"/>
        <s v="07_15"/>
        <s v="07_16"/>
        <s v="07_17"/>
        <s v="07_18"/>
        <s v="07_19"/>
        <s v="07_20"/>
        <s v="07_23"/>
        <s v="07_25"/>
        <s v="07_27"/>
        <s v="07_28"/>
        <s v="07_29"/>
        <s v="07_31"/>
        <s v="07_37"/>
        <s v="07_38"/>
        <s v="07_39"/>
        <s v="09_02"/>
        <s v="09_07"/>
        <s v="09_09"/>
        <s v="09_10"/>
        <s v="09_12"/>
        <s v="09_13"/>
        <s v="09_14"/>
        <s v="12_01"/>
        <s v="12_05"/>
        <s v="12_08"/>
        <s v="12_09"/>
        <s v="12_10"/>
        <s v="12_14"/>
        <s v="12_16"/>
        <s v="12_17"/>
        <s v="12_18"/>
        <s v="12_19"/>
        <s v="12_21"/>
        <s v="12_22"/>
        <s v="13_01"/>
        <s v="13_02"/>
        <s v="13_03"/>
        <s v="13_04"/>
        <s v="13_05"/>
        <s v="13_06"/>
        <s v="13_07"/>
        <s v="13_08"/>
        <s v="13_09"/>
        <s v="13_10"/>
        <s v="13_11"/>
        <s v="13_12"/>
        <s v="13_13"/>
        <s v="13_14"/>
        <s v="13_15"/>
        <s v="13_16"/>
        <s v="13_17"/>
        <s v="13_18"/>
        <s v="13_19"/>
        <s v="13_20"/>
        <s v="13_21"/>
        <s v="13_22"/>
        <s v="13_23"/>
        <s v="13_24"/>
        <s v="13_25"/>
        <s v="13_26"/>
        <s v="13_27"/>
      </sharedItems>
    </cacheField>
    <cacheField name="Center" numFmtId="0">
      <sharedItems containsSemiMixedTypes="0" containsString="0" containsNumber="1" containsInteger="1" minValue="1" maxValue="13"/>
    </cacheField>
    <cacheField name="Region" numFmtId="0">
      <sharedItems/>
    </cacheField>
    <cacheField name="ID" numFmtId="0">
      <sharedItems/>
    </cacheField>
    <cacheField name="WSI" numFmtId="0">
      <sharedItems/>
    </cacheField>
    <cacheField name="Video" numFmtId="0">
      <sharedItems/>
    </cacheField>
    <cacheField name="PHRI" numFmtId="0">
      <sharedItems containsSemiMixedTypes="0" containsString="0" containsNumber="1" containsInteger="1" minValue="0" maxValue="4"/>
    </cacheField>
    <cacheField name="RHI" numFmtId="0">
      <sharedItems containsSemiMixedTypes="0" containsString="0" containsNumber="1" containsInteger="1" minValue="0" maxValue="12"/>
    </cacheField>
    <cacheField name="NHI" numFmtId="0">
      <sharedItems containsSemiMixedTypes="0" containsString="0" containsNumber="1" containsInteger="1" minValue="1" maxValue="5"/>
    </cacheField>
    <cacheField name="UCEIS" numFmtId="0">
      <sharedItems containsSemiMixedTypes="0" containsString="0" containsNumber="1" containsInteger="1" minValue="0" maxValue="8"/>
    </cacheField>
    <cacheField name="PICASSO" numFmtId="0">
      <sharedItems containsSemiMixedTypes="0" containsString="0" containsNumber="1" containsInteger="1" minValue="0" maxValue="15"/>
    </cacheField>
    <cacheField name="R. HIST" numFmtId="0">
      <sharedItems containsSemiMixedTypes="0" containsString="0" containsNumber="1" containsInteger="1" minValue="0" maxValue="1"/>
    </cacheField>
    <cacheField name="R. ENDO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">
  <r>
    <x v="0"/>
    <n v="1"/>
    <s v="R"/>
    <s v="0101_R"/>
    <s v="01001 Rectum C"/>
    <s v="pat0101_section1"/>
    <n v="3"/>
    <n v="8"/>
    <n v="5"/>
    <n v="5"/>
    <n v="13"/>
    <n v="0"/>
    <n v="0"/>
  </r>
  <r>
    <x v="0"/>
    <n v="1"/>
    <s v="S"/>
    <s v="0101_S"/>
    <s v="01001 Sigmoid B"/>
    <s v="pat0101_section2"/>
    <n v="3"/>
    <n v="2"/>
    <n v="3"/>
    <n v="2"/>
    <n v="0"/>
    <n v="0"/>
    <n v="1"/>
  </r>
  <r>
    <x v="1"/>
    <n v="1"/>
    <s v="R"/>
    <s v="0102_R"/>
    <s v="01002 Rectum C"/>
    <s v="pat0102_section1"/>
    <n v="0"/>
    <n v="1"/>
    <n v="1"/>
    <n v="0"/>
    <n v="0"/>
    <n v="1"/>
    <n v="1"/>
  </r>
  <r>
    <x v="1"/>
    <n v="1"/>
    <s v="S"/>
    <s v="0102_S"/>
    <s v="01002 Sigmoid B"/>
    <s v="pat0102_section2"/>
    <n v="0"/>
    <n v="1"/>
    <n v="1"/>
    <n v="1"/>
    <n v="0"/>
    <n v="1"/>
    <n v="1"/>
  </r>
  <r>
    <x v="2"/>
    <n v="1"/>
    <s v="R"/>
    <s v="0103_R"/>
    <s v="01003 Rectum D"/>
    <s v="pat0103_section1"/>
    <n v="0"/>
    <n v="0"/>
    <n v="1"/>
    <n v="1"/>
    <n v="0"/>
    <n v="1"/>
    <n v="1"/>
  </r>
  <r>
    <x v="2"/>
    <n v="1"/>
    <s v="S"/>
    <s v="0103_S"/>
    <s v="01003 Sigmoid C"/>
    <s v="pat0103_section2"/>
    <n v="0"/>
    <n v="0"/>
    <n v="1"/>
    <n v="1"/>
    <n v="0"/>
    <n v="1"/>
    <n v="1"/>
  </r>
  <r>
    <x v="3"/>
    <n v="1"/>
    <s v="R"/>
    <s v="0104_R"/>
    <s v="01004 Rectum B"/>
    <s v="pat0104_section1"/>
    <n v="4"/>
    <n v="10"/>
    <n v="4"/>
    <n v="7"/>
    <n v="15"/>
    <n v="0"/>
    <n v="0"/>
  </r>
  <r>
    <x v="3"/>
    <n v="1"/>
    <s v="S"/>
    <s v="0104_S"/>
    <s v="01004 Sigmoid A"/>
    <s v="pat0104_section2"/>
    <n v="2"/>
    <n v="1"/>
    <n v="1"/>
    <n v="2"/>
    <n v="4"/>
    <n v="0"/>
    <n v="0"/>
  </r>
  <r>
    <x v="4"/>
    <n v="1"/>
    <s v="R"/>
    <s v="0105_R"/>
    <s v="01005 Rectum D"/>
    <s v="pat0105_section1"/>
    <n v="4"/>
    <n v="9"/>
    <n v="4"/>
    <n v="6"/>
    <n v="13"/>
    <n v="0"/>
    <n v="0"/>
  </r>
  <r>
    <x v="4"/>
    <n v="1"/>
    <s v="S"/>
    <s v="0105_S"/>
    <s v="01005 Sigmoid C"/>
    <s v="pat0105_section2"/>
    <n v="3"/>
    <n v="3"/>
    <n v="3"/>
    <n v="5"/>
    <n v="7"/>
    <n v="0"/>
    <n v="0"/>
  </r>
  <r>
    <x v="5"/>
    <n v="1"/>
    <s v="R"/>
    <s v="0106_R"/>
    <s v="01006 Rectum D"/>
    <s v="pat0106_section1"/>
    <n v="4"/>
    <n v="11"/>
    <n v="4"/>
    <n v="7"/>
    <n v="14"/>
    <n v="0"/>
    <n v="0"/>
  </r>
  <r>
    <x v="5"/>
    <n v="1"/>
    <s v="S"/>
    <s v="0106_S"/>
    <s v="01006 Sigmoid C"/>
    <s v="pat0106_section2"/>
    <n v="0"/>
    <n v="0"/>
    <n v="1"/>
    <n v="2"/>
    <n v="2"/>
    <n v="1"/>
    <n v="1"/>
  </r>
  <r>
    <x v="6"/>
    <n v="1"/>
    <s v="R"/>
    <s v="0107_R"/>
    <s v="01007 Rectum C"/>
    <s v="pat0107_section1"/>
    <n v="3"/>
    <n v="9"/>
    <n v="5"/>
    <n v="6"/>
    <n v="13"/>
    <n v="0"/>
    <n v="0"/>
  </r>
  <r>
    <x v="6"/>
    <n v="1"/>
    <s v="S"/>
    <s v="0107_S"/>
    <s v="01007 Sigmoid B"/>
    <s v="pat0107_section2"/>
    <n v="3"/>
    <n v="10"/>
    <n v="5"/>
    <n v="6"/>
    <n v="13"/>
    <n v="0"/>
    <n v="0"/>
  </r>
  <r>
    <x v="7"/>
    <n v="1"/>
    <s v="R"/>
    <s v="0108_R"/>
    <s v="01008 Rectum G"/>
    <s v="pat0108_section1"/>
    <n v="0"/>
    <n v="0"/>
    <n v="1"/>
    <n v="1"/>
    <n v="0"/>
    <n v="1"/>
    <n v="1"/>
  </r>
  <r>
    <x v="7"/>
    <n v="1"/>
    <s v="S"/>
    <s v="0108_S"/>
    <s v="01008 Sigmoid E"/>
    <s v="pat0108_section2"/>
    <n v="0"/>
    <n v="0"/>
    <n v="1"/>
    <n v="1"/>
    <n v="0"/>
    <n v="1"/>
    <n v="1"/>
  </r>
  <r>
    <x v="8"/>
    <n v="1"/>
    <s v="R"/>
    <s v="0109_R"/>
    <s v="01009 Rectum F"/>
    <s v="pat0109_section1"/>
    <n v="0"/>
    <n v="0"/>
    <n v="1"/>
    <n v="1"/>
    <n v="0"/>
    <n v="1"/>
    <n v="1"/>
  </r>
  <r>
    <x v="8"/>
    <n v="1"/>
    <s v="S"/>
    <s v="0109_S"/>
    <s v="01009 Sigmoid E"/>
    <s v="pat0109_section2"/>
    <n v="2"/>
    <n v="3"/>
    <n v="3"/>
    <n v="1"/>
    <n v="5"/>
    <n v="0"/>
    <n v="0"/>
  </r>
  <r>
    <x v="9"/>
    <n v="1"/>
    <s v="R"/>
    <s v="0110_R"/>
    <s v="01010 Rectum E"/>
    <s v="pat0110_section1"/>
    <n v="0"/>
    <n v="0"/>
    <n v="1"/>
    <n v="0"/>
    <n v="0"/>
    <n v="1"/>
    <n v="1"/>
  </r>
  <r>
    <x v="9"/>
    <n v="1"/>
    <s v="S"/>
    <s v="0110_S"/>
    <s v="01010 Sigmoid D"/>
    <s v="pat0110_section2"/>
    <n v="0"/>
    <n v="0"/>
    <n v="1"/>
    <n v="0"/>
    <n v="0"/>
    <n v="1"/>
    <n v="1"/>
  </r>
  <r>
    <x v="10"/>
    <n v="1"/>
    <s v="R"/>
    <s v="0111_R"/>
    <s v="01011 Rectum C"/>
    <s v="pat0111_section1"/>
    <n v="4"/>
    <n v="5"/>
    <n v="4"/>
    <n v="4"/>
    <n v="10"/>
    <n v="0"/>
    <n v="0"/>
  </r>
  <r>
    <x v="10"/>
    <n v="1"/>
    <s v="S"/>
    <s v="0111_S"/>
    <s v="01011 Sigmoid A"/>
    <s v="pat0111_section2"/>
    <n v="4"/>
    <n v="7"/>
    <n v="4"/>
    <n v="4"/>
    <n v="6"/>
    <n v="0"/>
    <n v="0"/>
  </r>
  <r>
    <x v="11"/>
    <n v="1"/>
    <s v="S"/>
    <s v="0112_S"/>
    <s v="01012 Sigmoid F"/>
    <s v="pat0112_section2"/>
    <n v="0"/>
    <n v="0"/>
    <n v="1"/>
    <n v="0"/>
    <n v="0"/>
    <n v="1"/>
    <n v="1"/>
  </r>
  <r>
    <x v="12"/>
    <n v="1"/>
    <s v="S"/>
    <s v="0114_S"/>
    <s v="01014 Sigmoid D"/>
    <s v="pat0114_section2"/>
    <n v="4"/>
    <n v="8"/>
    <n v="4"/>
    <n v="5"/>
    <n v="11"/>
    <n v="0"/>
    <n v="0"/>
  </r>
  <r>
    <x v="13"/>
    <n v="1"/>
    <s v="S"/>
    <s v="0115_S"/>
    <s v="01015 Sigmoid A"/>
    <s v="pat0115_section2"/>
    <n v="2"/>
    <n v="2"/>
    <n v="2"/>
    <n v="1"/>
    <n v="0"/>
    <n v="0"/>
    <n v="1"/>
  </r>
  <r>
    <x v="14"/>
    <n v="1"/>
    <s v="S"/>
    <s v="0116_S"/>
    <s v="01016 Sigmoid A"/>
    <s v="pat0116_section2"/>
    <n v="0"/>
    <n v="0"/>
    <n v="1"/>
    <n v="1"/>
    <n v="0"/>
    <n v="1"/>
    <n v="1"/>
  </r>
  <r>
    <x v="15"/>
    <n v="1"/>
    <s v="S"/>
    <s v="0117_S"/>
    <s v="01017 Sigmoid A"/>
    <s v="pat0117_section2"/>
    <n v="0"/>
    <n v="0"/>
    <n v="1"/>
    <n v="1"/>
    <n v="0"/>
    <n v="1"/>
    <n v="1"/>
  </r>
  <r>
    <x v="16"/>
    <n v="1"/>
    <s v="R"/>
    <s v="0118_R"/>
    <s v="01018 Rectum J"/>
    <s v="pat0118_section1"/>
    <n v="0"/>
    <n v="0"/>
    <n v="1"/>
    <n v="1"/>
    <n v="0"/>
    <n v="1"/>
    <n v="1"/>
  </r>
  <r>
    <x v="16"/>
    <n v="1"/>
    <s v="S"/>
    <s v="0118_S"/>
    <s v="01018 Sigmoid G"/>
    <s v="pat0118_section2"/>
    <n v="0"/>
    <n v="0"/>
    <n v="1"/>
    <n v="1"/>
    <n v="1"/>
    <n v="1"/>
    <n v="1"/>
  </r>
  <r>
    <x v="17"/>
    <n v="1"/>
    <s v="R"/>
    <s v="0119_R"/>
    <s v="01019 Rectum B"/>
    <s v="pat0119_section1"/>
    <n v="0"/>
    <n v="0"/>
    <n v="1"/>
    <n v="4"/>
    <n v="8"/>
    <n v="1"/>
    <n v="0"/>
  </r>
  <r>
    <x v="17"/>
    <n v="1"/>
    <s v="S"/>
    <s v="0119_S"/>
    <s v="01019 Sigmoid A"/>
    <s v="pat0119_section2"/>
    <n v="2"/>
    <n v="4"/>
    <n v="3"/>
    <n v="4"/>
    <n v="8"/>
    <n v="0"/>
    <n v="0"/>
  </r>
  <r>
    <x v="18"/>
    <n v="1"/>
    <s v="R"/>
    <s v="0121_R"/>
    <s v="01021_RectumC"/>
    <s v="pat0121_section1"/>
    <n v="2"/>
    <n v="1"/>
    <n v="1"/>
    <n v="1"/>
    <n v="1"/>
    <n v="0"/>
    <n v="1"/>
  </r>
  <r>
    <x v="18"/>
    <n v="1"/>
    <s v="S"/>
    <s v="0121_S"/>
    <s v="01021_SigmoidB"/>
    <s v="pat0121_section2"/>
    <n v="0"/>
    <n v="1"/>
    <n v="1"/>
    <n v="0"/>
    <n v="0"/>
    <n v="1"/>
    <n v="1"/>
  </r>
  <r>
    <x v="19"/>
    <n v="1"/>
    <s v="R"/>
    <s v="0122_R"/>
    <s v="01022 Rectum C"/>
    <s v="pat0122_section1"/>
    <n v="4"/>
    <n v="8"/>
    <n v="4"/>
    <n v="4"/>
    <n v="11"/>
    <n v="0"/>
    <n v="0"/>
  </r>
  <r>
    <x v="19"/>
    <n v="1"/>
    <s v="S"/>
    <s v="0122_S"/>
    <s v="01022 Sigmoid B"/>
    <s v="pat0122_section2"/>
    <n v="4"/>
    <n v="8"/>
    <n v="4"/>
    <n v="2"/>
    <n v="3"/>
    <n v="0"/>
    <n v="1"/>
  </r>
  <r>
    <x v="20"/>
    <n v="1"/>
    <s v="R"/>
    <s v="0123_R"/>
    <s v="01023_RectumD"/>
    <s v="pat0123_section1"/>
    <n v="3"/>
    <n v="4"/>
    <n v="4"/>
    <n v="6"/>
    <n v="13"/>
    <n v="0"/>
    <n v="0"/>
  </r>
  <r>
    <x v="20"/>
    <n v="1"/>
    <s v="S"/>
    <s v="0123_S"/>
    <s v="01023_SigmoidC"/>
    <s v="pat0123_section2"/>
    <n v="3"/>
    <n v="4"/>
    <n v="3"/>
    <n v="6"/>
    <n v="13"/>
    <n v="0"/>
    <n v="0"/>
  </r>
  <r>
    <x v="21"/>
    <n v="1"/>
    <s v="S"/>
    <s v="0124_S"/>
    <s v="01024_RectumD"/>
    <s v="pat0124_section2"/>
    <n v="4"/>
    <n v="6"/>
    <n v="4"/>
    <n v="2"/>
    <n v="5"/>
    <n v="0"/>
    <n v="0"/>
  </r>
  <r>
    <x v="22"/>
    <n v="1"/>
    <s v="R"/>
    <s v="0126_R"/>
    <s v="01026_Rectum E"/>
    <s v="pat0126_section1"/>
    <n v="0"/>
    <n v="0"/>
    <n v="1"/>
    <n v="0"/>
    <n v="0"/>
    <n v="1"/>
    <n v="1"/>
  </r>
  <r>
    <x v="22"/>
    <n v="1"/>
    <s v="S"/>
    <s v="0126_S"/>
    <s v="01026_Sigmoid D"/>
    <s v="pat0126_section2"/>
    <n v="0"/>
    <n v="0"/>
    <n v="1"/>
    <n v="0"/>
    <n v="0"/>
    <n v="1"/>
    <n v="1"/>
  </r>
  <r>
    <x v="23"/>
    <n v="1"/>
    <s v="R"/>
    <s v="0127_R"/>
    <s v="01027 Rectum C"/>
    <s v="pat0127_section1"/>
    <n v="0"/>
    <n v="0"/>
    <n v="1"/>
    <n v="0"/>
    <n v="0"/>
    <n v="1"/>
    <n v="1"/>
  </r>
  <r>
    <x v="23"/>
    <n v="1"/>
    <s v="S"/>
    <s v="0127_S"/>
    <s v="01027_SigmoidB"/>
    <s v="pat0127_section2"/>
    <n v="0"/>
    <n v="0"/>
    <n v="1"/>
    <n v="0"/>
    <n v="0"/>
    <n v="1"/>
    <n v="1"/>
  </r>
  <r>
    <x v="24"/>
    <n v="1"/>
    <s v="R"/>
    <s v="0129_R"/>
    <s v="01029 Sigmoid A"/>
    <s v="pat0129_section1"/>
    <n v="0"/>
    <n v="0"/>
    <n v="1"/>
    <n v="0"/>
    <n v="0"/>
    <n v="1"/>
    <n v="1"/>
  </r>
  <r>
    <x v="24"/>
    <n v="1"/>
    <s v="S"/>
    <s v="0129_S"/>
    <s v="01029_Rectum B"/>
    <s v="pat0129_section2"/>
    <n v="0"/>
    <n v="0"/>
    <n v="1"/>
    <n v="0"/>
    <n v="0"/>
    <n v="1"/>
    <n v="1"/>
  </r>
  <r>
    <x v="25"/>
    <n v="1"/>
    <s v="R"/>
    <s v="0130_R"/>
    <s v="01030 Rectum C"/>
    <s v="pat0130_section1"/>
    <n v="2"/>
    <n v="3"/>
    <n v="3"/>
    <n v="0"/>
    <n v="0"/>
    <n v="0"/>
    <n v="1"/>
  </r>
  <r>
    <x v="25"/>
    <n v="1"/>
    <s v="S"/>
    <s v="0130_S"/>
    <s v="01030_SigmoidB"/>
    <s v="pat0130_section2"/>
    <n v="0"/>
    <n v="0"/>
    <n v="1"/>
    <n v="0"/>
    <n v="0"/>
    <n v="1"/>
    <n v="1"/>
  </r>
  <r>
    <x v="26"/>
    <n v="1"/>
    <s v="R"/>
    <s v="0131_R"/>
    <s v="01031_Rectum B"/>
    <s v="pat0131_section1"/>
    <n v="0"/>
    <n v="0"/>
    <n v="1"/>
    <n v="0"/>
    <n v="0"/>
    <n v="1"/>
    <n v="1"/>
  </r>
  <r>
    <x v="26"/>
    <n v="1"/>
    <s v="S"/>
    <s v="0131_S"/>
    <s v="01031_Sigmoid A"/>
    <s v="pat0131_section2"/>
    <n v="0"/>
    <n v="0"/>
    <n v="1"/>
    <n v="0"/>
    <n v="0"/>
    <n v="1"/>
    <n v="1"/>
  </r>
  <r>
    <x v="27"/>
    <n v="1"/>
    <s v="R"/>
    <s v="0132_R"/>
    <s v="01032_Rectum B"/>
    <s v="pat0132_section1"/>
    <n v="0"/>
    <n v="0"/>
    <n v="1"/>
    <n v="0"/>
    <n v="0"/>
    <n v="1"/>
    <n v="1"/>
  </r>
  <r>
    <x v="27"/>
    <n v="1"/>
    <s v="S"/>
    <s v="0132_S"/>
    <s v="01032_Sigmoid A"/>
    <s v="pat0132_section2"/>
    <n v="0"/>
    <n v="0"/>
    <n v="1"/>
    <n v="0"/>
    <n v="0"/>
    <n v="1"/>
    <n v="1"/>
  </r>
  <r>
    <x v="28"/>
    <n v="1"/>
    <s v="R"/>
    <s v="0133_R"/>
    <s v="01033_RectumF"/>
    <s v="pat0133_section1"/>
    <n v="3"/>
    <n v="5"/>
    <n v="3"/>
    <n v="4"/>
    <n v="12"/>
    <n v="0"/>
    <n v="0"/>
  </r>
  <r>
    <x v="29"/>
    <n v="1"/>
    <s v="R"/>
    <s v="0134_R"/>
    <s v="01034_RectumD"/>
    <s v="pat0134_section1"/>
    <n v="0"/>
    <n v="1"/>
    <n v="1"/>
    <n v="1"/>
    <n v="0"/>
    <n v="1"/>
    <n v="1"/>
  </r>
  <r>
    <x v="30"/>
    <n v="1"/>
    <s v="R"/>
    <s v="0135_R"/>
    <s v="01035_RectumD"/>
    <s v="pat0135_section1"/>
    <n v="0"/>
    <n v="1"/>
    <n v="1"/>
    <n v="0"/>
    <n v="1"/>
    <n v="1"/>
    <n v="1"/>
  </r>
  <r>
    <x v="31"/>
    <n v="1"/>
    <s v="R"/>
    <s v="0136_R"/>
    <s v="01036 Sigmoid B2"/>
    <s v="pat0136_section1"/>
    <n v="0"/>
    <n v="0"/>
    <n v="1"/>
    <n v="0"/>
    <n v="0"/>
    <n v="1"/>
    <n v="1"/>
  </r>
  <r>
    <x v="31"/>
    <n v="1"/>
    <s v="S"/>
    <s v="0136_S"/>
    <s v="01036_RectumD"/>
    <s v="pat0136_section2"/>
    <n v="3"/>
    <n v="5"/>
    <n v="3"/>
    <n v="1"/>
    <n v="4"/>
    <n v="0"/>
    <n v="0"/>
  </r>
  <r>
    <x v="32"/>
    <n v="1"/>
    <s v="R"/>
    <s v="0137_R"/>
    <s v="01037 Sigmoid A"/>
    <s v="pat0137_section1"/>
    <n v="0"/>
    <n v="0"/>
    <n v="1"/>
    <n v="0"/>
    <n v="0"/>
    <n v="1"/>
    <n v="1"/>
  </r>
  <r>
    <x v="32"/>
    <n v="1"/>
    <s v="S"/>
    <s v="0137_S"/>
    <s v="01037_RectumB"/>
    <s v="pat0137_section2"/>
    <n v="0"/>
    <n v="0"/>
    <n v="1"/>
    <n v="0"/>
    <n v="0"/>
    <n v="1"/>
    <n v="1"/>
  </r>
  <r>
    <x v="33"/>
    <n v="1"/>
    <s v="R"/>
    <s v="0138_R"/>
    <s v="01038_RectumD"/>
    <s v="pat0138_section1"/>
    <n v="0"/>
    <n v="0"/>
    <n v="1"/>
    <n v="0"/>
    <n v="0"/>
    <n v="1"/>
    <n v="1"/>
  </r>
  <r>
    <x v="34"/>
    <n v="1"/>
    <s v="R"/>
    <s v="0139_R"/>
    <s v="01039 Sigmoid C"/>
    <s v="pat0139_section1"/>
    <n v="0"/>
    <n v="0"/>
    <n v="1"/>
    <n v="0"/>
    <n v="0"/>
    <n v="1"/>
    <n v="1"/>
  </r>
  <r>
    <x v="34"/>
    <n v="1"/>
    <s v="S"/>
    <s v="0139_S"/>
    <s v="01039_RectumD"/>
    <s v="pat0139_section2"/>
    <n v="0"/>
    <n v="0"/>
    <n v="1"/>
    <n v="0"/>
    <n v="0"/>
    <n v="1"/>
    <n v="1"/>
  </r>
  <r>
    <x v="35"/>
    <n v="1"/>
    <s v="R"/>
    <s v="0140_R"/>
    <s v="01040 Rectum C"/>
    <s v="pat0140_section1"/>
    <n v="0"/>
    <n v="0"/>
    <n v="1"/>
    <n v="0"/>
    <n v="0"/>
    <n v="1"/>
    <n v="1"/>
  </r>
  <r>
    <x v="35"/>
    <n v="1"/>
    <s v="S"/>
    <s v="0140_S"/>
    <s v="01040 Sigmoid B"/>
    <s v="pat0140_section2"/>
    <n v="0"/>
    <n v="1"/>
    <n v="1"/>
    <n v="0"/>
    <n v="0"/>
    <n v="1"/>
    <n v="1"/>
  </r>
  <r>
    <x v="36"/>
    <n v="1"/>
    <s v="R"/>
    <s v="0141_R"/>
    <s v="01041 Rectum B"/>
    <s v="pat0141_section1"/>
    <n v="0"/>
    <n v="1"/>
    <n v="1"/>
    <n v="1"/>
    <n v="1"/>
    <n v="1"/>
    <n v="1"/>
  </r>
  <r>
    <x v="36"/>
    <n v="1"/>
    <s v="S"/>
    <s v="0141_S"/>
    <s v="01041 Sigmoid A"/>
    <s v="pat0141_section2"/>
    <n v="0"/>
    <n v="1"/>
    <n v="1"/>
    <n v="1"/>
    <n v="1"/>
    <n v="1"/>
    <n v="1"/>
  </r>
  <r>
    <x v="37"/>
    <n v="1"/>
    <s v="S"/>
    <s v="0142_S"/>
    <s v="01042 Sigmoid B"/>
    <s v="pat0142_section2"/>
    <n v="0"/>
    <n v="0"/>
    <n v="1"/>
    <n v="0"/>
    <n v="0"/>
    <n v="1"/>
    <n v="1"/>
  </r>
  <r>
    <x v="38"/>
    <n v="1"/>
    <s v="R"/>
    <s v="0144_R"/>
    <s v="01044 Rectum F"/>
    <s v="01-44 Rectum UCEIS"/>
    <n v="0"/>
    <n v="0"/>
    <n v="1"/>
    <n v="0"/>
    <n v="0"/>
    <n v="1"/>
    <n v="1"/>
  </r>
  <r>
    <x v="38"/>
    <n v="1"/>
    <s v="S"/>
    <s v="0144_S"/>
    <s v="01044 Sigmoid E"/>
    <s v="pat0144_section2"/>
    <n v="0"/>
    <n v="0"/>
    <n v="1"/>
    <n v="0"/>
    <n v="0"/>
    <n v="1"/>
    <n v="1"/>
  </r>
  <r>
    <x v="39"/>
    <n v="1"/>
    <s v="R"/>
    <s v="0145_R"/>
    <s v="01045 Rectum G"/>
    <s v="01-45 Rectum UCEIS"/>
    <n v="0"/>
    <n v="1"/>
    <n v="1"/>
    <n v="1"/>
    <n v="0"/>
    <n v="1"/>
    <n v="1"/>
  </r>
  <r>
    <x v="39"/>
    <n v="1"/>
    <s v="S"/>
    <s v="0145_S"/>
    <s v="01045 Sigmoid F"/>
    <s v="pat0145_section2"/>
    <n v="0"/>
    <n v="0"/>
    <n v="1"/>
    <n v="1"/>
    <n v="0"/>
    <n v="1"/>
    <n v="1"/>
  </r>
  <r>
    <x v="40"/>
    <n v="1"/>
    <s v="R"/>
    <s v="0146_R"/>
    <s v="01046 Rectum B"/>
    <s v="01-46 Rectum UCEIS"/>
    <n v="0"/>
    <n v="1"/>
    <n v="1"/>
    <n v="2"/>
    <n v="2"/>
    <n v="1"/>
    <n v="1"/>
  </r>
  <r>
    <x v="40"/>
    <n v="1"/>
    <s v="S"/>
    <s v="0146_S"/>
    <s v="01046 Sigmoid A"/>
    <s v="pat0146_section2"/>
    <n v="0"/>
    <n v="0"/>
    <n v="1"/>
    <n v="1"/>
    <n v="1"/>
    <n v="1"/>
    <n v="1"/>
  </r>
  <r>
    <x v="41"/>
    <n v="1"/>
    <s v="R"/>
    <s v="0147_R"/>
    <s v="01047 Rectum F"/>
    <s v="01-47 Rectum UCEIS"/>
    <n v="4"/>
    <n v="8"/>
    <n v="4"/>
    <n v="6"/>
    <n v="15"/>
    <n v="0"/>
    <n v="0"/>
  </r>
  <r>
    <x v="41"/>
    <n v="1"/>
    <s v="S"/>
    <s v="0147_S"/>
    <s v="01047 Sigmoid E"/>
    <s v="pat0147_section2"/>
    <n v="3"/>
    <n v="10"/>
    <n v="4"/>
    <n v="4"/>
    <n v="10"/>
    <n v="0"/>
    <n v="0"/>
  </r>
  <r>
    <x v="42"/>
    <n v="1"/>
    <s v="S"/>
    <s v="0148_S"/>
    <s v="01048 Sigmoid D"/>
    <s v="pat0148_section2"/>
    <n v="0"/>
    <n v="0"/>
    <n v="1"/>
    <n v="0"/>
    <n v="0"/>
    <n v="1"/>
    <n v="1"/>
  </r>
  <r>
    <x v="43"/>
    <n v="1"/>
    <s v="R"/>
    <s v="0149_R"/>
    <s v="01049 Rectum D"/>
    <s v="pat0149_section1"/>
    <n v="0"/>
    <n v="0"/>
    <n v="1"/>
    <n v="0"/>
    <n v="1"/>
    <n v="1"/>
    <n v="1"/>
  </r>
  <r>
    <x v="43"/>
    <n v="1"/>
    <s v="S"/>
    <s v="0149_S"/>
    <s v="01049 Sigmoid C"/>
    <s v="pat0149_section2"/>
    <n v="0"/>
    <n v="0"/>
    <n v="1"/>
    <n v="0"/>
    <n v="1"/>
    <n v="1"/>
    <n v="1"/>
  </r>
  <r>
    <x v="44"/>
    <n v="1"/>
    <s v="R"/>
    <s v="0150_R"/>
    <s v="01050 Rectum E"/>
    <s v="pat0150_section1"/>
    <n v="4"/>
    <n v="7"/>
    <n v="4"/>
    <n v="3"/>
    <n v="7"/>
    <n v="0"/>
    <n v="0"/>
  </r>
  <r>
    <x v="44"/>
    <n v="1"/>
    <s v="S"/>
    <s v="0150_S"/>
    <s v="01050 Sigmoid C"/>
    <s v="pat0150_section2"/>
    <n v="0"/>
    <n v="1"/>
    <n v="1"/>
    <n v="0"/>
    <n v="0"/>
    <n v="1"/>
    <n v="1"/>
  </r>
  <r>
    <x v="45"/>
    <n v="1"/>
    <s v="R"/>
    <s v="0152_R"/>
    <s v="01052 Rectum C"/>
    <s v="pat0152_section1"/>
    <n v="1"/>
    <n v="1"/>
    <n v="1"/>
    <n v="2"/>
    <n v="3"/>
    <n v="0"/>
    <n v="1"/>
  </r>
  <r>
    <x v="45"/>
    <n v="1"/>
    <s v="S"/>
    <s v="0152_S"/>
    <s v="01052 Sigmoid B"/>
    <s v="pat0152_section2"/>
    <n v="1"/>
    <n v="1"/>
    <n v="1"/>
    <n v="1"/>
    <n v="5"/>
    <n v="0"/>
    <n v="0"/>
  </r>
  <r>
    <x v="46"/>
    <n v="2"/>
    <s v="R"/>
    <s v="0201_R"/>
    <s v="02_001 Rectum 2F"/>
    <s v="pat0201_section1"/>
    <n v="0"/>
    <n v="0"/>
    <n v="2"/>
    <n v="0"/>
    <n v="0"/>
    <n v="1"/>
    <n v="1"/>
  </r>
  <r>
    <x v="46"/>
    <n v="2"/>
    <s v="S"/>
    <s v="0201_S"/>
    <s v="02_001 Sigmoid 2E"/>
    <s v="pat0201_section2"/>
    <n v="0"/>
    <n v="0"/>
    <n v="2"/>
    <n v="0"/>
    <n v="0"/>
    <n v="1"/>
    <n v="1"/>
  </r>
  <r>
    <x v="47"/>
    <n v="2"/>
    <s v="R"/>
    <s v="0202_R"/>
    <s v="02_002 Rectum 1F"/>
    <s v="pat0202_section1"/>
    <n v="0"/>
    <n v="1"/>
    <n v="2"/>
    <n v="0"/>
    <n v="0"/>
    <n v="1"/>
    <n v="1"/>
  </r>
  <r>
    <x v="47"/>
    <n v="2"/>
    <s v="S"/>
    <s v="0202_S"/>
    <s v="02_002 Sigmoid 1E"/>
    <s v="pat0202_section2"/>
    <n v="0"/>
    <n v="1"/>
    <n v="2"/>
    <n v="0"/>
    <n v="0"/>
    <n v="1"/>
    <n v="1"/>
  </r>
  <r>
    <x v="48"/>
    <n v="2"/>
    <s v="R"/>
    <s v="0203_R"/>
    <s v="02_003 Rectum 1F"/>
    <s v="pat0203_section1"/>
    <n v="0"/>
    <n v="1"/>
    <n v="2"/>
    <n v="0"/>
    <n v="0"/>
    <n v="1"/>
    <n v="1"/>
  </r>
  <r>
    <x v="48"/>
    <n v="2"/>
    <s v="S"/>
    <s v="0203_S"/>
    <s v="02_003 Sigmoid 1E"/>
    <s v="pat0203_section2"/>
    <n v="1"/>
    <n v="1"/>
    <n v="2"/>
    <n v="0"/>
    <n v="0"/>
    <n v="0"/>
    <n v="1"/>
  </r>
  <r>
    <x v="49"/>
    <n v="2"/>
    <s v="R"/>
    <s v="0204_R"/>
    <s v="02_004 Rectum F"/>
    <s v="pat0204_section1"/>
    <n v="0"/>
    <n v="0"/>
    <n v="1"/>
    <n v="0"/>
    <n v="0"/>
    <n v="1"/>
    <n v="1"/>
  </r>
  <r>
    <x v="49"/>
    <n v="2"/>
    <s v="S"/>
    <s v="0204_S"/>
    <s v="02_004 Sigmoid E"/>
    <s v="pat0204_section2"/>
    <n v="0"/>
    <n v="0"/>
    <n v="1"/>
    <n v="0"/>
    <n v="0"/>
    <n v="1"/>
    <n v="1"/>
  </r>
  <r>
    <x v="50"/>
    <n v="2"/>
    <s v="R"/>
    <s v="0205_R"/>
    <s v="02_005 Rectum 1F"/>
    <s v="pat0205_section1"/>
    <n v="0"/>
    <n v="1"/>
    <n v="1"/>
    <n v="1"/>
    <n v="0"/>
    <n v="1"/>
    <n v="1"/>
  </r>
  <r>
    <x v="50"/>
    <n v="2"/>
    <s v="S"/>
    <s v="0205_S"/>
    <s v="02_005 Sigmoid E"/>
    <s v="pat0205_section2"/>
    <n v="0"/>
    <n v="0"/>
    <n v="1"/>
    <n v="1"/>
    <n v="0"/>
    <n v="1"/>
    <n v="1"/>
  </r>
  <r>
    <x v="51"/>
    <n v="2"/>
    <s v="R"/>
    <s v="0206_R"/>
    <s v="02_006 Rectum 1F"/>
    <s v="pat0206_section1"/>
    <n v="0"/>
    <n v="1"/>
    <n v="1"/>
    <n v="1"/>
    <n v="0"/>
    <n v="1"/>
    <n v="1"/>
  </r>
  <r>
    <x v="51"/>
    <n v="2"/>
    <s v="S"/>
    <s v="0206_S"/>
    <s v="02_006 Sigmoid E"/>
    <s v="pat0206_section2"/>
    <n v="0"/>
    <n v="1"/>
    <n v="1"/>
    <n v="1"/>
    <n v="0"/>
    <n v="1"/>
    <n v="1"/>
  </r>
  <r>
    <x v="52"/>
    <n v="2"/>
    <s v="R"/>
    <s v="0207_R"/>
    <s v="02_007 Rectum 1F"/>
    <s v="pat0207_section1"/>
    <n v="4"/>
    <n v="7"/>
    <n v="4"/>
    <n v="0"/>
    <n v="0"/>
    <n v="0"/>
    <n v="1"/>
  </r>
  <r>
    <x v="53"/>
    <n v="2"/>
    <s v="R"/>
    <s v="0208_R"/>
    <s v="02_008 Rectum 1F"/>
    <s v="pat0208_section1"/>
    <n v="0"/>
    <n v="0"/>
    <n v="2"/>
    <n v="0"/>
    <n v="0"/>
    <n v="1"/>
    <n v="1"/>
  </r>
  <r>
    <x v="54"/>
    <n v="2"/>
    <s v="R"/>
    <s v="0209_R"/>
    <s v="02_009 Rectum 1F"/>
    <s v="pat0209_section1"/>
    <n v="0"/>
    <n v="0"/>
    <n v="2"/>
    <n v="0"/>
    <n v="0"/>
    <n v="1"/>
    <n v="1"/>
  </r>
  <r>
    <x v="54"/>
    <n v="2"/>
    <s v="S"/>
    <s v="0209_S"/>
    <s v="02_009 Sigmoid 1E"/>
    <s v="pat0209_section2"/>
    <n v="0"/>
    <n v="0"/>
    <n v="2"/>
    <n v="0"/>
    <n v="0"/>
    <n v="1"/>
    <n v="1"/>
  </r>
  <r>
    <x v="55"/>
    <n v="2"/>
    <s v="R"/>
    <s v="0211_R"/>
    <s v="02_011 Sigmoid 1E"/>
    <s v="pat0211_section1"/>
    <n v="3"/>
    <n v="11"/>
    <n v="5"/>
    <n v="4"/>
    <n v="5"/>
    <n v="0"/>
    <n v="0"/>
  </r>
  <r>
    <x v="55"/>
    <n v="2"/>
    <s v="S"/>
    <s v="0211_S"/>
    <s v="02_011 Sigmoid 1F"/>
    <s v="pat0211_section2"/>
    <n v="4"/>
    <n v="10"/>
    <n v="4"/>
    <n v="4"/>
    <n v="7"/>
    <n v="0"/>
    <n v="0"/>
  </r>
  <r>
    <x v="56"/>
    <n v="2"/>
    <s v="R"/>
    <s v="0212_R"/>
    <s v="02_012 Rectum 1F"/>
    <s v="pat0212_section1"/>
    <n v="0"/>
    <n v="1"/>
    <n v="2"/>
    <n v="0"/>
    <n v="0"/>
    <n v="1"/>
    <n v="1"/>
  </r>
  <r>
    <x v="56"/>
    <n v="2"/>
    <s v="S"/>
    <s v="0212_S"/>
    <s v="02_012 Sigmoid 1E"/>
    <s v="pat0212_section2"/>
    <n v="0"/>
    <n v="1"/>
    <n v="2"/>
    <n v="0"/>
    <n v="0"/>
    <n v="1"/>
    <n v="1"/>
  </r>
  <r>
    <x v="57"/>
    <n v="2"/>
    <s v="S"/>
    <s v="0213_S"/>
    <s v="02_013 Sigmoid 1E"/>
    <s v="pat0213_section2"/>
    <n v="0"/>
    <n v="1"/>
    <n v="2"/>
    <n v="1"/>
    <n v="0"/>
    <n v="1"/>
    <n v="1"/>
  </r>
  <r>
    <x v="58"/>
    <n v="2"/>
    <s v="R"/>
    <s v="0214_R"/>
    <s v="02_014 Rectum 1F"/>
    <s v="pat0214_section1"/>
    <n v="0"/>
    <n v="0"/>
    <n v="2"/>
    <n v="0"/>
    <n v="0"/>
    <n v="1"/>
    <n v="1"/>
  </r>
  <r>
    <x v="58"/>
    <n v="2"/>
    <s v="S"/>
    <s v="0214_S"/>
    <s v="02_014 Sigmoid 1E"/>
    <s v="pat0214_section2"/>
    <n v="0"/>
    <n v="2"/>
    <n v="2"/>
    <n v="0"/>
    <n v="0"/>
    <n v="1"/>
    <n v="1"/>
  </r>
  <r>
    <x v="59"/>
    <n v="2"/>
    <s v="R"/>
    <s v="0215_R"/>
    <s v="02_015 Rectum 1F"/>
    <s v="pat0215_section1"/>
    <n v="0"/>
    <n v="1"/>
    <n v="2"/>
    <n v="1"/>
    <n v="1"/>
    <n v="1"/>
    <n v="1"/>
  </r>
  <r>
    <x v="59"/>
    <n v="2"/>
    <s v="S"/>
    <s v="0215_S"/>
    <s v="02_015 Sigmoid 1E"/>
    <s v="pat0215_section2"/>
    <n v="4"/>
    <n v="6"/>
    <n v="3"/>
    <n v="4"/>
    <n v="8"/>
    <n v="0"/>
    <n v="0"/>
  </r>
  <r>
    <x v="60"/>
    <n v="2"/>
    <s v="S"/>
    <s v="0216_S"/>
    <s v="02_016 Sigmoid 1A"/>
    <s v="pat0216_section2"/>
    <n v="0"/>
    <n v="1"/>
    <n v="2"/>
    <n v="0"/>
    <n v="0"/>
    <n v="1"/>
    <n v="1"/>
  </r>
  <r>
    <x v="61"/>
    <n v="2"/>
    <s v="S"/>
    <s v="0217_S"/>
    <s v="02_017 Sigmoid 1E"/>
    <s v="pat0217_section2"/>
    <n v="1"/>
    <n v="1"/>
    <n v="2"/>
    <n v="0"/>
    <n v="0"/>
    <n v="0"/>
    <n v="1"/>
  </r>
  <r>
    <x v="62"/>
    <n v="2"/>
    <s v="S"/>
    <s v="0218_S"/>
    <s v="02_018 Sigmoid 1A"/>
    <s v="pat0218_section2"/>
    <n v="0"/>
    <n v="1"/>
    <n v="2"/>
    <n v="0"/>
    <n v="0"/>
    <n v="1"/>
    <n v="1"/>
  </r>
  <r>
    <x v="63"/>
    <n v="2"/>
    <s v="S"/>
    <s v="0219_S"/>
    <s v="02_019 Sigmoid 1E"/>
    <s v="pat0219_section2"/>
    <n v="0"/>
    <n v="1"/>
    <n v="2"/>
    <n v="0"/>
    <n v="0"/>
    <n v="1"/>
    <n v="1"/>
  </r>
  <r>
    <x v="64"/>
    <n v="2"/>
    <s v="S"/>
    <s v="0220_S"/>
    <s v="02_020 Sigmoid 1E"/>
    <s v="pat0220_section2"/>
    <n v="0"/>
    <n v="1"/>
    <n v="2"/>
    <n v="0"/>
    <n v="0"/>
    <n v="1"/>
    <n v="1"/>
  </r>
  <r>
    <x v="65"/>
    <n v="2"/>
    <s v="S"/>
    <s v="0221_S"/>
    <s v="02_021 Sigmoid 1E"/>
    <s v="pat0221_section2"/>
    <n v="0"/>
    <n v="1"/>
    <n v="2"/>
    <n v="0"/>
    <n v="0"/>
    <n v="1"/>
    <n v="1"/>
  </r>
  <r>
    <x v="66"/>
    <n v="2"/>
    <s v="S"/>
    <s v="0222_S"/>
    <s v="02_022 Sigmoid 1E"/>
    <s v="pat0222_section2"/>
    <n v="0"/>
    <n v="1"/>
    <n v="2"/>
    <n v="0"/>
    <n v="0"/>
    <n v="1"/>
    <n v="1"/>
  </r>
  <r>
    <x v="67"/>
    <n v="2"/>
    <s v="S"/>
    <s v="0223_S"/>
    <s v="02_023 Sigmoid 1E"/>
    <s v="pat0223_section2"/>
    <n v="0"/>
    <n v="1"/>
    <n v="2"/>
    <n v="0"/>
    <n v="0"/>
    <n v="1"/>
    <n v="1"/>
  </r>
  <r>
    <x v="68"/>
    <n v="2"/>
    <s v="S"/>
    <s v="0224_S"/>
    <s v="02_024 Sigmiod 1E"/>
    <s v="pat0224_section2"/>
    <n v="0"/>
    <n v="0"/>
    <n v="1"/>
    <n v="0"/>
    <n v="0"/>
    <n v="1"/>
    <n v="1"/>
  </r>
  <r>
    <x v="69"/>
    <n v="2"/>
    <s v="S"/>
    <s v="0225_S"/>
    <s v="02_025 Sigmoid 1E"/>
    <s v="pat0225_section2"/>
    <n v="0"/>
    <n v="1"/>
    <n v="2"/>
    <n v="0"/>
    <n v="0"/>
    <n v="1"/>
    <n v="1"/>
  </r>
  <r>
    <x v="70"/>
    <n v="2"/>
    <s v="R"/>
    <s v="0226_R"/>
    <s v="02_026 Rectum"/>
    <s v="pat0226_section1"/>
    <n v="0"/>
    <n v="1"/>
    <n v="2"/>
    <n v="0"/>
    <n v="0"/>
    <n v="1"/>
    <n v="1"/>
  </r>
  <r>
    <x v="70"/>
    <n v="2"/>
    <s v="S"/>
    <s v="0226_S"/>
    <s v="02_026 Sigmoid 1E"/>
    <s v="pat0226_section2"/>
    <n v="0"/>
    <n v="1"/>
    <n v="2"/>
    <n v="0"/>
    <n v="0"/>
    <n v="1"/>
    <n v="1"/>
  </r>
  <r>
    <x v="71"/>
    <n v="2"/>
    <s v="R"/>
    <s v="0227_R"/>
    <s v="02_027 Rectum 1F"/>
    <s v="pat0227_section1"/>
    <n v="0"/>
    <n v="1"/>
    <n v="2"/>
    <n v="0"/>
    <n v="0"/>
    <n v="1"/>
    <n v="1"/>
  </r>
  <r>
    <x v="71"/>
    <n v="2"/>
    <s v="S"/>
    <s v="0227_S"/>
    <s v="02_027 Sigmoid 1E"/>
    <s v="pat0227_section2"/>
    <n v="0"/>
    <n v="1"/>
    <n v="2"/>
    <n v="0"/>
    <n v="0"/>
    <n v="1"/>
    <n v="1"/>
  </r>
  <r>
    <x v="72"/>
    <n v="2"/>
    <s v="R"/>
    <s v="0228_R"/>
    <s v="02_028 Rectum 1F"/>
    <s v="pat0228_section1"/>
    <n v="4"/>
    <n v="10"/>
    <n v="4"/>
    <n v="4"/>
    <n v="9"/>
    <n v="0"/>
    <n v="0"/>
  </r>
  <r>
    <x v="72"/>
    <n v="2"/>
    <s v="S"/>
    <s v="0228_S"/>
    <s v="02_028 Sigmoid 1E"/>
    <s v="pat0228_section2"/>
    <n v="0"/>
    <n v="1"/>
    <n v="2"/>
    <n v="0"/>
    <n v="0"/>
    <n v="1"/>
    <n v="1"/>
  </r>
  <r>
    <x v="73"/>
    <n v="2"/>
    <s v="R"/>
    <s v="0229_R"/>
    <s v="02_029 Rectum 1F"/>
    <s v="pat0229_section1"/>
    <n v="0"/>
    <n v="1"/>
    <n v="2"/>
    <n v="0"/>
    <n v="0"/>
    <n v="1"/>
    <n v="1"/>
  </r>
  <r>
    <x v="73"/>
    <n v="2"/>
    <s v="S"/>
    <s v="0229_S"/>
    <s v="02_029 Sigmoid 1E"/>
    <s v="pat0229_section2"/>
    <n v="0"/>
    <n v="1"/>
    <n v="2"/>
    <n v="0"/>
    <n v="0"/>
    <n v="1"/>
    <n v="1"/>
  </r>
  <r>
    <x v="74"/>
    <n v="2"/>
    <s v="R"/>
    <s v="0230_R"/>
    <s v="02_030 Rectum 1F"/>
    <s v="pat0230_section1"/>
    <n v="0"/>
    <n v="0"/>
    <n v="1"/>
    <n v="1"/>
    <n v="1"/>
    <n v="1"/>
    <n v="1"/>
  </r>
  <r>
    <x v="74"/>
    <n v="2"/>
    <s v="S"/>
    <s v="0230_S"/>
    <s v="02_030 Sigmoid 1E"/>
    <s v="pat0230_section2"/>
    <n v="0"/>
    <n v="0"/>
    <n v="1"/>
    <n v="1"/>
    <n v="1"/>
    <n v="1"/>
    <n v="1"/>
  </r>
  <r>
    <x v="75"/>
    <n v="2"/>
    <s v="R"/>
    <s v="0231_R"/>
    <s v="02_031 Rectum 1F"/>
    <s v="pat0231_section1"/>
    <n v="0"/>
    <n v="0"/>
    <n v="1"/>
    <n v="0"/>
    <n v="0"/>
    <n v="1"/>
    <n v="1"/>
  </r>
  <r>
    <x v="75"/>
    <n v="2"/>
    <s v="S"/>
    <s v="0231_S"/>
    <s v="02_031 Sigmoid 1E"/>
    <s v="pat0231_section2"/>
    <n v="0"/>
    <n v="0"/>
    <n v="1"/>
    <n v="0"/>
    <n v="0"/>
    <n v="1"/>
    <n v="1"/>
  </r>
  <r>
    <x v="76"/>
    <n v="2"/>
    <s v="R"/>
    <s v="0232_R"/>
    <s v="02_032 Rectum 1F"/>
    <s v="pat0232_section1"/>
    <n v="0"/>
    <n v="0"/>
    <n v="1"/>
    <n v="0"/>
    <n v="0"/>
    <n v="1"/>
    <n v="1"/>
  </r>
  <r>
    <x v="76"/>
    <n v="2"/>
    <s v="S"/>
    <s v="0232_S"/>
    <s v="02_032 Sigmoid 1E"/>
    <s v="pat0232_section2"/>
    <n v="0"/>
    <n v="0"/>
    <n v="1"/>
    <n v="0"/>
    <n v="0"/>
    <n v="1"/>
    <n v="1"/>
  </r>
  <r>
    <x v="77"/>
    <n v="2"/>
    <s v="R"/>
    <s v="0233_R"/>
    <s v="02_033 Rectum 1F"/>
    <s v="pat0233_section1"/>
    <n v="0"/>
    <n v="0"/>
    <n v="1"/>
    <n v="1"/>
    <n v="0"/>
    <n v="1"/>
    <n v="1"/>
  </r>
  <r>
    <x v="77"/>
    <n v="2"/>
    <s v="S"/>
    <s v="0233_S"/>
    <s v="02_033 Sigmoid 1E"/>
    <s v="pat0233_section2"/>
    <n v="0"/>
    <n v="0"/>
    <n v="1"/>
    <n v="1"/>
    <n v="0"/>
    <n v="1"/>
    <n v="1"/>
  </r>
  <r>
    <x v="78"/>
    <n v="2"/>
    <s v="R"/>
    <s v="0234_R"/>
    <s v="02_034 Rectum 1F"/>
    <s v="pat0234_section1"/>
    <n v="0"/>
    <n v="1"/>
    <n v="1"/>
    <n v="0"/>
    <n v="0"/>
    <n v="1"/>
    <n v="1"/>
  </r>
  <r>
    <x v="78"/>
    <n v="2"/>
    <s v="S"/>
    <s v="0234_S"/>
    <s v="02_034 Sigmoid 1E"/>
    <s v="pat0234_section2"/>
    <n v="4"/>
    <n v="3"/>
    <n v="3"/>
    <n v="0"/>
    <n v="0"/>
    <n v="0"/>
    <n v="1"/>
  </r>
  <r>
    <x v="79"/>
    <n v="2"/>
    <s v="S"/>
    <s v="0235_S"/>
    <s v="02_035 Sigmoid 1E"/>
    <s v="pat0235_section2"/>
    <n v="0"/>
    <n v="0"/>
    <n v="1"/>
    <n v="0"/>
    <n v="0"/>
    <n v="1"/>
    <n v="1"/>
  </r>
  <r>
    <x v="80"/>
    <n v="2"/>
    <s v="R"/>
    <s v="0236_R"/>
    <s v="02_036 Rectum 1F"/>
    <s v="pat0236_section1"/>
    <n v="0"/>
    <n v="1"/>
    <n v="1"/>
    <n v="2"/>
    <n v="2"/>
    <n v="1"/>
    <n v="1"/>
  </r>
  <r>
    <x v="80"/>
    <n v="2"/>
    <s v="S"/>
    <s v="0236_S"/>
    <s v="02_036 Sigmoid 1E"/>
    <s v="pat0236_section2"/>
    <n v="0"/>
    <n v="1"/>
    <n v="1"/>
    <n v="2"/>
    <n v="2"/>
    <n v="1"/>
    <n v="1"/>
  </r>
  <r>
    <x v="81"/>
    <n v="2"/>
    <s v="R"/>
    <s v="0237_R"/>
    <s v="02_037 Rectum 1E"/>
    <s v="pat0237_section1"/>
    <n v="0"/>
    <n v="0"/>
    <n v="1"/>
    <n v="1"/>
    <n v="0"/>
    <n v="1"/>
    <n v="1"/>
  </r>
  <r>
    <x v="81"/>
    <n v="2"/>
    <s v="S"/>
    <s v="0237_S"/>
    <s v="02_037 Sigmoid 1D"/>
    <s v="pat0237_section2"/>
    <n v="0"/>
    <n v="0"/>
    <n v="1"/>
    <n v="1"/>
    <n v="0"/>
    <n v="1"/>
    <n v="1"/>
  </r>
  <r>
    <x v="82"/>
    <n v="2"/>
    <s v="R"/>
    <s v="0238_R"/>
    <s v="02_038 Rectum 1F"/>
    <s v="pat0238_section1"/>
    <n v="0"/>
    <n v="0"/>
    <n v="1"/>
    <n v="0"/>
    <n v="0"/>
    <n v="1"/>
    <n v="1"/>
  </r>
  <r>
    <x v="82"/>
    <n v="2"/>
    <s v="S"/>
    <s v="0238_S"/>
    <s v="02_038 Sigmoid 1E"/>
    <s v="pat0238_section2"/>
    <n v="0"/>
    <n v="0"/>
    <n v="1"/>
    <n v="0"/>
    <n v="0"/>
    <n v="1"/>
    <n v="1"/>
  </r>
  <r>
    <x v="83"/>
    <n v="2"/>
    <s v="R"/>
    <s v="0239_R"/>
    <s v="02_039 Rectum 1F"/>
    <s v="pat0239_section1"/>
    <n v="0"/>
    <n v="0"/>
    <n v="1"/>
    <n v="1"/>
    <n v="0"/>
    <n v="1"/>
    <n v="1"/>
  </r>
  <r>
    <x v="83"/>
    <n v="2"/>
    <s v="S"/>
    <s v="0239_S"/>
    <s v="02_039 Sigmoid 1E"/>
    <s v="pat0239_section2"/>
    <n v="0"/>
    <n v="0"/>
    <n v="1"/>
    <n v="1"/>
    <n v="0"/>
    <n v="1"/>
    <n v="1"/>
  </r>
  <r>
    <x v="84"/>
    <n v="2"/>
    <s v="R"/>
    <s v="0240_R"/>
    <s v="02_040 Rectum 1F"/>
    <s v="pat0240_section1"/>
    <n v="0"/>
    <n v="0"/>
    <n v="1"/>
    <n v="0"/>
    <n v="0"/>
    <n v="1"/>
    <n v="1"/>
  </r>
  <r>
    <x v="84"/>
    <n v="2"/>
    <s v="S"/>
    <s v="0240_S"/>
    <s v="02_040 Sigmoid 1E"/>
    <s v="pat0240_section2"/>
    <n v="0"/>
    <n v="0"/>
    <n v="1"/>
    <n v="0"/>
    <n v="0"/>
    <n v="1"/>
    <n v="1"/>
  </r>
  <r>
    <x v="85"/>
    <n v="2"/>
    <s v="R"/>
    <s v="0242_R"/>
    <s v="02_042 Rectum 1F"/>
    <s v="pat0242_section1"/>
    <n v="0"/>
    <n v="0"/>
    <n v="1"/>
    <n v="1"/>
    <n v="0"/>
    <n v="1"/>
    <n v="1"/>
  </r>
  <r>
    <x v="85"/>
    <n v="2"/>
    <s v="S"/>
    <s v="0242_S"/>
    <s v="02_042 Sigmoid 1E"/>
    <s v="pat0242_section2"/>
    <n v="0"/>
    <n v="0"/>
    <n v="1"/>
    <n v="1"/>
    <n v="0"/>
    <n v="1"/>
    <n v="1"/>
  </r>
  <r>
    <x v="86"/>
    <n v="2"/>
    <s v="R"/>
    <s v="0244_R"/>
    <s v="02_044 Rectum 1F"/>
    <s v="pat0244_section1"/>
    <n v="0"/>
    <n v="0"/>
    <n v="1"/>
    <n v="0"/>
    <n v="0"/>
    <n v="1"/>
    <n v="1"/>
  </r>
  <r>
    <x v="86"/>
    <n v="2"/>
    <s v="S"/>
    <s v="0244_S"/>
    <s v="02_044 Sigmoid 1E"/>
    <s v="pat0244_section2"/>
    <n v="0"/>
    <n v="0"/>
    <n v="1"/>
    <n v="0"/>
    <n v="0"/>
    <n v="1"/>
    <n v="1"/>
  </r>
  <r>
    <x v="87"/>
    <n v="2"/>
    <s v="R"/>
    <s v="0245_R"/>
    <s v="02_045 Rectum 1F"/>
    <s v="pat0245_section1"/>
    <n v="3"/>
    <n v="2"/>
    <n v="3"/>
    <n v="3"/>
    <n v="10"/>
    <n v="0"/>
    <n v="0"/>
  </r>
  <r>
    <x v="87"/>
    <n v="2"/>
    <s v="S"/>
    <s v="0245_S"/>
    <s v="02_045 Sigmoid 1E"/>
    <s v="pat0245_section2"/>
    <n v="0"/>
    <n v="0"/>
    <n v="1"/>
    <n v="0"/>
    <n v="0"/>
    <n v="1"/>
    <n v="1"/>
  </r>
  <r>
    <x v="88"/>
    <n v="2"/>
    <s v="R"/>
    <s v="0246_R"/>
    <s v="02_046 Rectum 1F"/>
    <s v="pat0246_section1"/>
    <n v="2"/>
    <n v="1"/>
    <n v="3"/>
    <n v="0"/>
    <n v="0"/>
    <n v="0"/>
    <n v="1"/>
  </r>
  <r>
    <x v="88"/>
    <n v="2"/>
    <s v="S"/>
    <s v="0246_S"/>
    <s v="02_046 Sigmoid 1E"/>
    <s v="pat0246_section2"/>
    <n v="2"/>
    <n v="0"/>
    <n v="1"/>
    <n v="0"/>
    <n v="0"/>
    <n v="0"/>
    <n v="1"/>
  </r>
  <r>
    <x v="89"/>
    <n v="3"/>
    <s v="R"/>
    <s v="0301_R"/>
    <s v="03-01_Rectum"/>
    <s v="pat0301_section1"/>
    <n v="0"/>
    <n v="1"/>
    <n v="1"/>
    <n v="0"/>
    <n v="2"/>
    <n v="1"/>
    <n v="1"/>
  </r>
  <r>
    <x v="89"/>
    <n v="3"/>
    <s v="S"/>
    <s v="0301_S"/>
    <s v="03-01_Sigmoid"/>
    <s v="pat0301_section2"/>
    <n v="0"/>
    <n v="1"/>
    <n v="1"/>
    <n v="0"/>
    <n v="0"/>
    <n v="1"/>
    <n v="1"/>
  </r>
  <r>
    <x v="90"/>
    <n v="3"/>
    <s v="R"/>
    <s v="0302_R"/>
    <s v="03-02_Rectum"/>
    <s v="pat0302_section1"/>
    <n v="0"/>
    <n v="1"/>
    <n v="1"/>
    <n v="0"/>
    <n v="2"/>
    <n v="1"/>
    <n v="1"/>
  </r>
  <r>
    <x v="90"/>
    <n v="3"/>
    <s v="S"/>
    <s v="0302_S"/>
    <s v="03-02_Sigmoid"/>
    <s v="pat0302_section2"/>
    <n v="0"/>
    <n v="2"/>
    <n v="1"/>
    <n v="0"/>
    <n v="2"/>
    <n v="1"/>
    <n v="1"/>
  </r>
  <r>
    <x v="91"/>
    <n v="3"/>
    <s v="R"/>
    <s v="0303_R"/>
    <s v="03-03_Rectum"/>
    <s v="pat0303_section1"/>
    <n v="0"/>
    <n v="1"/>
    <n v="1"/>
    <n v="1"/>
    <n v="0"/>
    <n v="1"/>
    <n v="1"/>
  </r>
  <r>
    <x v="91"/>
    <n v="3"/>
    <s v="S"/>
    <s v="0303_S"/>
    <s v="03-03_Sigmoid"/>
    <s v="pat0303_section2"/>
    <n v="0"/>
    <n v="1"/>
    <n v="1"/>
    <n v="1"/>
    <n v="0"/>
    <n v="1"/>
    <n v="1"/>
  </r>
  <r>
    <x v="92"/>
    <n v="3"/>
    <s v="S"/>
    <s v="0304_S"/>
    <s v="03-04_Sigmoid"/>
    <s v="pat0304_section2"/>
    <n v="0"/>
    <n v="0"/>
    <n v="1"/>
    <n v="0"/>
    <n v="2"/>
    <n v="1"/>
    <n v="1"/>
  </r>
  <r>
    <x v="93"/>
    <n v="3"/>
    <s v="R"/>
    <s v="0305_R"/>
    <s v="03-05_Rectum"/>
    <s v="pat0305_section1"/>
    <n v="1"/>
    <n v="3"/>
    <n v="2"/>
    <n v="1"/>
    <n v="0"/>
    <n v="0"/>
    <n v="1"/>
  </r>
  <r>
    <x v="94"/>
    <n v="3"/>
    <s v="R"/>
    <s v="0306_R"/>
    <s v="03-06_Rectum"/>
    <s v="pat0306_section1"/>
    <n v="1"/>
    <n v="2"/>
    <n v="1"/>
    <n v="0"/>
    <n v="2"/>
    <n v="0"/>
    <n v="1"/>
  </r>
  <r>
    <x v="94"/>
    <n v="3"/>
    <s v="S"/>
    <s v="0306_S"/>
    <s v="03-06_Sigmoid"/>
    <s v="pat0306_section2"/>
    <n v="3"/>
    <n v="5"/>
    <n v="4"/>
    <n v="4"/>
    <n v="8"/>
    <n v="0"/>
    <n v="0"/>
  </r>
  <r>
    <x v="95"/>
    <n v="3"/>
    <s v="R"/>
    <s v="0307_R"/>
    <s v="03-07_Rectum"/>
    <s v="pat0307_section1"/>
    <n v="0"/>
    <n v="1"/>
    <n v="1"/>
    <n v="0"/>
    <n v="2"/>
    <n v="1"/>
    <n v="1"/>
  </r>
  <r>
    <x v="95"/>
    <n v="3"/>
    <s v="S"/>
    <s v="0307_S"/>
    <s v="03-07_Sigmoid"/>
    <s v="pat0307_section2"/>
    <n v="0"/>
    <n v="1"/>
    <n v="1"/>
    <n v="0"/>
    <n v="2"/>
    <n v="1"/>
    <n v="1"/>
  </r>
  <r>
    <x v="96"/>
    <n v="3"/>
    <s v="R"/>
    <s v="0308_R"/>
    <s v="03-08_Rectum"/>
    <s v="pat0308_section1"/>
    <n v="0"/>
    <n v="0"/>
    <n v="1"/>
    <n v="0"/>
    <n v="2"/>
    <n v="1"/>
    <n v="1"/>
  </r>
  <r>
    <x v="96"/>
    <n v="3"/>
    <s v="S"/>
    <s v="0308_S"/>
    <s v="03-08_Sigmoid"/>
    <s v="pat0308_section2"/>
    <n v="0"/>
    <n v="1"/>
    <n v="1"/>
    <n v="0"/>
    <n v="2"/>
    <n v="1"/>
    <n v="1"/>
  </r>
  <r>
    <x v="97"/>
    <n v="3"/>
    <s v="R"/>
    <s v="0309_R"/>
    <s v="03-09_Rectum"/>
    <s v="pat0309_section1"/>
    <n v="0"/>
    <n v="1"/>
    <n v="1"/>
    <n v="1"/>
    <n v="0"/>
    <n v="1"/>
    <n v="1"/>
  </r>
  <r>
    <x v="97"/>
    <n v="3"/>
    <s v="S"/>
    <s v="0309_S"/>
    <s v="03-09_Sigmoid"/>
    <s v="pat0309_section2"/>
    <n v="0"/>
    <n v="0"/>
    <n v="1"/>
    <n v="0"/>
    <n v="2"/>
    <n v="1"/>
    <n v="1"/>
  </r>
  <r>
    <x v="98"/>
    <n v="3"/>
    <s v="R"/>
    <s v="0310_R"/>
    <s v="03-10_Rectum"/>
    <s v="pat0310_section1"/>
    <n v="0"/>
    <n v="2"/>
    <n v="1"/>
    <n v="0"/>
    <n v="0"/>
    <n v="1"/>
    <n v="1"/>
  </r>
  <r>
    <x v="98"/>
    <n v="3"/>
    <s v="S"/>
    <s v="0310_S"/>
    <s v="03-10_Sigmoid"/>
    <s v="pat0310_section2"/>
    <n v="0"/>
    <n v="0"/>
    <n v="1"/>
    <n v="0"/>
    <n v="0"/>
    <n v="1"/>
    <n v="1"/>
  </r>
  <r>
    <x v="99"/>
    <n v="3"/>
    <s v="R"/>
    <s v="0311_R"/>
    <s v="03-11_Rectum"/>
    <s v="pat0311_section1"/>
    <n v="3"/>
    <n v="6"/>
    <n v="4"/>
    <n v="4"/>
    <n v="5"/>
    <n v="0"/>
    <n v="0"/>
  </r>
  <r>
    <x v="99"/>
    <n v="3"/>
    <s v="S"/>
    <s v="0311_S"/>
    <s v="03-11_Sigmoid"/>
    <s v="pat0311_section2"/>
    <n v="3"/>
    <n v="6"/>
    <n v="4"/>
    <n v="5"/>
    <n v="6"/>
    <n v="0"/>
    <n v="0"/>
  </r>
  <r>
    <x v="100"/>
    <n v="3"/>
    <s v="R"/>
    <s v="0312_R"/>
    <s v="03-12_Rectum"/>
    <s v="pat0312_section1"/>
    <n v="3"/>
    <n v="2"/>
    <n v="1"/>
    <n v="2"/>
    <n v="0"/>
    <n v="0"/>
    <n v="1"/>
  </r>
  <r>
    <x v="100"/>
    <n v="3"/>
    <s v="S"/>
    <s v="0312_S"/>
    <s v="03-12_Sigmoid"/>
    <s v="pat0312_section2"/>
    <n v="1"/>
    <n v="2"/>
    <n v="1"/>
    <n v="2"/>
    <n v="0"/>
    <n v="0"/>
    <n v="1"/>
  </r>
  <r>
    <x v="101"/>
    <n v="3"/>
    <s v="R"/>
    <s v="0313_R"/>
    <s v="03-13_Rectum"/>
    <s v="pat0313_section1"/>
    <n v="0"/>
    <n v="2"/>
    <n v="1"/>
    <n v="1"/>
    <n v="0"/>
    <n v="1"/>
    <n v="1"/>
  </r>
  <r>
    <x v="101"/>
    <n v="3"/>
    <s v="S"/>
    <s v="0313_S"/>
    <s v="03-13_Sigmoid"/>
    <s v="pat0313_section2"/>
    <n v="0"/>
    <n v="1"/>
    <n v="1"/>
    <n v="0"/>
    <n v="0"/>
    <n v="1"/>
    <n v="1"/>
  </r>
  <r>
    <x v="102"/>
    <n v="3"/>
    <s v="R"/>
    <s v="0314_R"/>
    <s v="03-14_Rectum"/>
    <s v="pat0314_section1"/>
    <n v="3"/>
    <n v="8"/>
    <n v="4"/>
    <n v="2"/>
    <n v="7"/>
    <n v="0"/>
    <n v="0"/>
  </r>
  <r>
    <x v="102"/>
    <n v="3"/>
    <s v="S"/>
    <s v="0314_S"/>
    <s v="03-14_Sigmoid"/>
    <s v="pat0314_section2"/>
    <n v="0"/>
    <n v="2"/>
    <n v="1"/>
    <n v="0"/>
    <n v="0"/>
    <n v="1"/>
    <n v="1"/>
  </r>
  <r>
    <x v="103"/>
    <n v="3"/>
    <s v="S"/>
    <s v="0315_S"/>
    <s v="03-15_Sigmoid"/>
    <s v="pat0315_section2"/>
    <n v="0"/>
    <n v="2"/>
    <n v="1"/>
    <n v="1"/>
    <n v="0"/>
    <n v="1"/>
    <n v="1"/>
  </r>
  <r>
    <x v="104"/>
    <n v="3"/>
    <s v="S"/>
    <s v="0316_S"/>
    <s v="03-16_Sigmoid"/>
    <s v="pat0316_section2"/>
    <n v="1"/>
    <n v="2"/>
    <n v="1"/>
    <n v="1"/>
    <n v="0"/>
    <n v="0"/>
    <n v="1"/>
  </r>
  <r>
    <x v="105"/>
    <n v="3"/>
    <s v="S"/>
    <s v="0317_S"/>
    <s v="03-17_Sigmoid"/>
    <s v="pat0317_section2"/>
    <n v="0"/>
    <n v="3"/>
    <n v="2"/>
    <n v="0"/>
    <n v="2"/>
    <n v="1"/>
    <n v="1"/>
  </r>
  <r>
    <x v="106"/>
    <n v="3"/>
    <s v="S"/>
    <s v="0318_S"/>
    <s v="03-18_Sigmoid"/>
    <s v="pat0318_section2"/>
    <n v="0"/>
    <n v="2"/>
    <n v="1"/>
    <n v="0"/>
    <n v="0"/>
    <n v="1"/>
    <n v="1"/>
  </r>
  <r>
    <x v="107"/>
    <n v="3"/>
    <s v="S"/>
    <s v="0319_S"/>
    <s v="03-19_Sigmoid"/>
    <s v="pat0319_section2"/>
    <n v="0"/>
    <n v="1"/>
    <n v="1"/>
    <n v="1"/>
    <n v="1"/>
    <n v="1"/>
    <n v="1"/>
  </r>
  <r>
    <x v="108"/>
    <n v="3"/>
    <s v="S"/>
    <s v="0320_S"/>
    <s v="03-20_Sigmoid"/>
    <s v="pat0320_section2"/>
    <n v="0"/>
    <n v="2"/>
    <n v="1"/>
    <n v="0"/>
    <n v="0"/>
    <n v="1"/>
    <n v="1"/>
  </r>
  <r>
    <x v="109"/>
    <n v="4"/>
    <s v="S"/>
    <s v="0401_S"/>
    <s v="04-01_SIGMOID"/>
    <s v="pat0401_section2"/>
    <n v="4"/>
    <n v="9"/>
    <n v="5"/>
    <n v="4"/>
    <n v="11"/>
    <n v="0"/>
    <n v="0"/>
  </r>
  <r>
    <x v="110"/>
    <n v="4"/>
    <s v="R"/>
    <s v="0403_R"/>
    <s v="04-03_RECTUM"/>
    <s v="04-03 Rectum UCEIS"/>
    <n v="0"/>
    <n v="0"/>
    <n v="1"/>
    <n v="0"/>
    <n v="0"/>
    <n v="1"/>
    <n v="1"/>
  </r>
  <r>
    <x v="110"/>
    <n v="4"/>
    <s v="S"/>
    <s v="0403_S"/>
    <s v="04-03_SIGMOID"/>
    <s v="pat0403_section2"/>
    <n v="0"/>
    <n v="0"/>
    <n v="1"/>
    <n v="0"/>
    <n v="0"/>
    <n v="1"/>
    <n v="1"/>
  </r>
  <r>
    <x v="111"/>
    <n v="4"/>
    <s v="R"/>
    <s v="0405_R"/>
    <s v="04-05_RECTUM"/>
    <s v="04-05 Rectum UCEIS"/>
    <n v="3"/>
    <n v="11"/>
    <n v="5"/>
    <n v="5"/>
    <n v="12"/>
    <n v="0"/>
    <n v="0"/>
  </r>
  <r>
    <x v="111"/>
    <n v="4"/>
    <s v="S"/>
    <s v="0405_S"/>
    <s v="04-05_SIGMOID"/>
    <s v="pat0405_section2"/>
    <n v="4"/>
    <n v="8"/>
    <n v="3"/>
    <n v="3"/>
    <n v="3"/>
    <n v="0"/>
    <n v="1"/>
  </r>
  <r>
    <x v="112"/>
    <n v="4"/>
    <s v="R"/>
    <s v="0406_R"/>
    <s v="04-06_RECTUM"/>
    <s v="pat0406_section1"/>
    <n v="0"/>
    <n v="0"/>
    <n v="1"/>
    <n v="1"/>
    <n v="3"/>
    <n v="1"/>
    <n v="1"/>
  </r>
  <r>
    <x v="112"/>
    <n v="4"/>
    <s v="S"/>
    <s v="0406_S"/>
    <s v="04-06_SIGMOID"/>
    <s v="pat0406_section2"/>
    <n v="0"/>
    <n v="0"/>
    <n v="1"/>
    <n v="0"/>
    <n v="0"/>
    <n v="1"/>
    <n v="1"/>
  </r>
  <r>
    <x v="113"/>
    <n v="4"/>
    <s v="R"/>
    <s v="0407_R"/>
    <s v="04-07_RECTUM"/>
    <s v="pat0407_section1"/>
    <n v="0"/>
    <n v="0"/>
    <n v="1"/>
    <n v="1"/>
    <n v="9"/>
    <n v="1"/>
    <n v="0"/>
  </r>
  <r>
    <x v="113"/>
    <n v="4"/>
    <s v="S"/>
    <s v="0407_S"/>
    <s v="04-07_SIGMOID"/>
    <s v="pat0407_section2"/>
    <n v="0"/>
    <n v="9"/>
    <n v="4"/>
    <n v="3"/>
    <n v="3"/>
    <n v="1"/>
    <n v="1"/>
  </r>
  <r>
    <x v="114"/>
    <n v="4"/>
    <s v="R"/>
    <s v="0408_R"/>
    <s v="04-08_RECTUM"/>
    <s v="pat0408_section1"/>
    <n v="3"/>
    <n v="3"/>
    <n v="1"/>
    <n v="0"/>
    <n v="0"/>
    <n v="0"/>
    <n v="1"/>
  </r>
  <r>
    <x v="114"/>
    <n v="4"/>
    <s v="S"/>
    <s v="0408_S"/>
    <s v="04-08_SIGMOID"/>
    <s v="pat0408_section2"/>
    <n v="0"/>
    <n v="0"/>
    <n v="3"/>
    <n v="0"/>
    <n v="0"/>
    <n v="1"/>
    <n v="1"/>
  </r>
  <r>
    <x v="115"/>
    <n v="4"/>
    <s v="S"/>
    <s v="0409_S"/>
    <s v="04-09_SIGMOID"/>
    <s v="pat0409_section2"/>
    <n v="0"/>
    <n v="0"/>
    <n v="1"/>
    <n v="0"/>
    <n v="0"/>
    <n v="1"/>
    <n v="1"/>
  </r>
  <r>
    <x v="116"/>
    <n v="4"/>
    <s v="S"/>
    <s v="0410_S"/>
    <s v="04-10_SIGMOID"/>
    <s v="pat0410_section2"/>
    <n v="0"/>
    <n v="0"/>
    <n v="1"/>
    <n v="0"/>
    <n v="0"/>
    <n v="1"/>
    <n v="1"/>
  </r>
  <r>
    <x v="117"/>
    <n v="4"/>
    <s v="S"/>
    <s v="0411_S"/>
    <s v="04-11_SIGMOID"/>
    <s v="pat0411_section2"/>
    <n v="0"/>
    <n v="0"/>
    <n v="1"/>
    <n v="0"/>
    <n v="5"/>
    <n v="1"/>
    <n v="0"/>
  </r>
  <r>
    <x v="118"/>
    <n v="4"/>
    <s v="R"/>
    <s v="0412_R"/>
    <s v="04-12_RECTUM"/>
    <s v="pat0412_section1"/>
    <n v="4"/>
    <n v="10"/>
    <n v="4"/>
    <n v="4"/>
    <n v="7"/>
    <n v="0"/>
    <n v="0"/>
  </r>
  <r>
    <x v="118"/>
    <n v="4"/>
    <s v="S"/>
    <s v="0412_S"/>
    <s v="04-12_SIGMOID"/>
    <s v="pat0412_section2"/>
    <n v="0"/>
    <n v="0"/>
    <n v="1"/>
    <n v="0"/>
    <n v="0"/>
    <n v="1"/>
    <n v="1"/>
  </r>
  <r>
    <x v="119"/>
    <n v="4"/>
    <s v="R"/>
    <s v="0413_R"/>
    <s v="04-13_RECTUM"/>
    <s v="pat0413_section1"/>
    <n v="0"/>
    <n v="0"/>
    <n v="1"/>
    <n v="0"/>
    <n v="0"/>
    <n v="1"/>
    <n v="1"/>
  </r>
  <r>
    <x v="119"/>
    <n v="4"/>
    <s v="S"/>
    <s v="0413_S"/>
    <s v="04-13_SIGMOID"/>
    <s v="pat0413_section2"/>
    <n v="0"/>
    <n v="3"/>
    <n v="3"/>
    <n v="0"/>
    <n v="4"/>
    <n v="1"/>
    <n v="0"/>
  </r>
  <r>
    <x v="120"/>
    <n v="4"/>
    <s v="S"/>
    <s v="0414_S"/>
    <s v="04-14_SIGMOID"/>
    <s v="pat0414_section2"/>
    <n v="0"/>
    <n v="0"/>
    <n v="1"/>
    <n v="0"/>
    <n v="2"/>
    <n v="1"/>
    <n v="1"/>
  </r>
  <r>
    <x v="121"/>
    <n v="4"/>
    <s v="S"/>
    <s v="0415_S"/>
    <s v="04-15_SIGMOID"/>
    <s v="pat0415_section2"/>
    <n v="0"/>
    <n v="0"/>
    <n v="1"/>
    <n v="0"/>
    <n v="4"/>
    <n v="1"/>
    <n v="0"/>
  </r>
  <r>
    <x v="122"/>
    <n v="4"/>
    <s v="R"/>
    <s v="0416_R"/>
    <s v="04-16_RECTUM"/>
    <s v="pat0416_section1"/>
    <n v="0"/>
    <n v="0"/>
    <n v="1"/>
    <n v="2"/>
    <n v="0"/>
    <n v="1"/>
    <n v="1"/>
  </r>
  <r>
    <x v="122"/>
    <n v="4"/>
    <s v="S"/>
    <s v="0416_S"/>
    <s v="04-16_SIGMOID"/>
    <s v="pat0416_section2"/>
    <n v="4"/>
    <n v="11"/>
    <n v="4"/>
    <n v="3"/>
    <n v="6"/>
    <n v="0"/>
    <n v="0"/>
  </r>
  <r>
    <x v="123"/>
    <n v="4"/>
    <s v="R"/>
    <s v="0417_R"/>
    <s v="04-17_RECTUM"/>
    <s v="pat0417_section1"/>
    <n v="0"/>
    <n v="0"/>
    <n v="1"/>
    <n v="1"/>
    <n v="1"/>
    <n v="1"/>
    <n v="1"/>
  </r>
  <r>
    <x v="123"/>
    <n v="4"/>
    <s v="S"/>
    <s v="0417_S"/>
    <s v="04-17_SIGMOID"/>
    <s v="pat0417_section2"/>
    <n v="0"/>
    <n v="0"/>
    <n v="1"/>
    <n v="0"/>
    <n v="0"/>
    <n v="1"/>
    <n v="1"/>
  </r>
  <r>
    <x v="124"/>
    <n v="4"/>
    <s v="S"/>
    <s v="0418_S"/>
    <s v="04-18_SIGMOID"/>
    <s v="pat0418_section2"/>
    <n v="4"/>
    <n v="10"/>
    <n v="5"/>
    <n v="4"/>
    <n v="7"/>
    <n v="0"/>
    <n v="0"/>
  </r>
  <r>
    <x v="125"/>
    <n v="4"/>
    <s v="R"/>
    <s v="0419_R"/>
    <s v="04-19_Rectum"/>
    <s v="pat0419_section1"/>
    <n v="0"/>
    <n v="0"/>
    <n v="1"/>
    <n v="0"/>
    <n v="0"/>
    <n v="1"/>
    <n v="1"/>
  </r>
  <r>
    <x v="125"/>
    <n v="4"/>
    <s v="S"/>
    <s v="0419_S"/>
    <s v="04-19_Sigmoid"/>
    <s v="pat0419_section2"/>
    <n v="0"/>
    <n v="0"/>
    <n v="1"/>
    <n v="0"/>
    <n v="0"/>
    <n v="1"/>
    <n v="1"/>
  </r>
  <r>
    <x v="126"/>
    <n v="4"/>
    <s v="R"/>
    <s v="0420_R"/>
    <s v="04-20_RECTUM"/>
    <s v="pat0420_section1"/>
    <n v="3"/>
    <n v="9"/>
    <n v="4"/>
    <n v="4"/>
    <n v="10"/>
    <n v="0"/>
    <n v="0"/>
  </r>
  <r>
    <x v="126"/>
    <n v="4"/>
    <s v="S"/>
    <s v="0420_S"/>
    <s v="04-20_SIGMOID"/>
    <s v="pat0420_section2"/>
    <n v="4"/>
    <n v="9"/>
    <n v="4"/>
    <n v="4"/>
    <n v="10"/>
    <n v="0"/>
    <n v="0"/>
  </r>
  <r>
    <x v="127"/>
    <n v="4"/>
    <s v="R"/>
    <s v="0421_R"/>
    <s v="04-21_RECTUM"/>
    <s v="pat0421_section1"/>
    <n v="0"/>
    <n v="0"/>
    <n v="1"/>
    <n v="1"/>
    <n v="0"/>
    <n v="1"/>
    <n v="1"/>
  </r>
  <r>
    <x v="127"/>
    <n v="4"/>
    <s v="S"/>
    <s v="0421_S"/>
    <s v="04-21_SIGMOID"/>
    <s v="pat0421_section2"/>
    <n v="0"/>
    <n v="0"/>
    <n v="1"/>
    <n v="0"/>
    <n v="0"/>
    <n v="1"/>
    <n v="1"/>
  </r>
  <r>
    <x v="128"/>
    <n v="4"/>
    <s v="R"/>
    <s v="0422_R"/>
    <s v="04-22_RECTUM"/>
    <s v="pat0422_section1"/>
    <n v="0"/>
    <n v="0"/>
    <n v="1"/>
    <n v="0"/>
    <n v="0"/>
    <n v="1"/>
    <n v="1"/>
  </r>
  <r>
    <x v="128"/>
    <n v="4"/>
    <s v="S"/>
    <s v="0422_S"/>
    <s v="04-22_SIGMOID"/>
    <s v="pat0422_section2"/>
    <n v="0"/>
    <n v="0"/>
    <n v="1"/>
    <n v="0"/>
    <n v="0"/>
    <n v="1"/>
    <n v="1"/>
  </r>
  <r>
    <x v="129"/>
    <n v="4"/>
    <s v="R"/>
    <s v="0423_R"/>
    <s v="04-23_RECTUM"/>
    <s v="pat0423_section1"/>
    <n v="0"/>
    <n v="0"/>
    <n v="1"/>
    <n v="0"/>
    <n v="1"/>
    <n v="1"/>
    <n v="1"/>
  </r>
  <r>
    <x v="129"/>
    <n v="4"/>
    <s v="S"/>
    <s v="0423_S"/>
    <s v="04-23_SIGMOID"/>
    <s v="pat0423_section2"/>
    <n v="0"/>
    <n v="0"/>
    <n v="1"/>
    <n v="0"/>
    <n v="0"/>
    <n v="1"/>
    <n v="1"/>
  </r>
  <r>
    <x v="130"/>
    <n v="4"/>
    <s v="R"/>
    <s v="0424_R"/>
    <s v="04-24_Rectum"/>
    <s v="pat0424_section1"/>
    <n v="0"/>
    <n v="0"/>
    <n v="1"/>
    <n v="0"/>
    <n v="0"/>
    <n v="1"/>
    <n v="1"/>
  </r>
  <r>
    <x v="130"/>
    <n v="4"/>
    <s v="S"/>
    <s v="0424_S"/>
    <s v="04-24_Sigmoid"/>
    <s v="pat0424_section2"/>
    <n v="0"/>
    <n v="0"/>
    <n v="1"/>
    <n v="0"/>
    <n v="0"/>
    <n v="1"/>
    <n v="1"/>
  </r>
  <r>
    <x v="131"/>
    <n v="4"/>
    <s v="R"/>
    <s v="0425_R"/>
    <s v="04-25_Rectum"/>
    <s v="pat0425_section1"/>
    <n v="0"/>
    <n v="0"/>
    <n v="1"/>
    <n v="0"/>
    <n v="0"/>
    <n v="1"/>
    <n v="1"/>
  </r>
  <r>
    <x v="131"/>
    <n v="4"/>
    <s v="S"/>
    <s v="0425_S"/>
    <s v="04-25_Sigmoid"/>
    <s v="pat0425_section2"/>
    <n v="0"/>
    <n v="0"/>
    <n v="1"/>
    <n v="0"/>
    <n v="0"/>
    <n v="1"/>
    <n v="1"/>
  </r>
  <r>
    <x v="132"/>
    <n v="4"/>
    <s v="S"/>
    <s v="0426_S"/>
    <s v="04-26_Sigmoid"/>
    <s v="pat0426_section2"/>
    <n v="0"/>
    <n v="0"/>
    <n v="1"/>
    <n v="0"/>
    <n v="0"/>
    <n v="1"/>
    <n v="1"/>
  </r>
  <r>
    <x v="133"/>
    <n v="4"/>
    <s v="S"/>
    <s v="0427_S"/>
    <s v="04-27_Sigmoid"/>
    <s v="pat0427_section2"/>
    <n v="0"/>
    <n v="0"/>
    <n v="1"/>
    <n v="0"/>
    <n v="0"/>
    <n v="1"/>
    <n v="1"/>
  </r>
  <r>
    <x v="134"/>
    <n v="4"/>
    <s v="S"/>
    <s v="0428_S"/>
    <s v="04-28_Sigmoid"/>
    <s v="pat0428_section2"/>
    <n v="4"/>
    <n v="10"/>
    <n v="4"/>
    <n v="5"/>
    <n v="14"/>
    <n v="0"/>
    <n v="0"/>
  </r>
  <r>
    <x v="135"/>
    <n v="7"/>
    <s v="R"/>
    <s v="0701_R"/>
    <s v="07-01 Rectum"/>
    <s v="07-01 Rectum WL"/>
    <n v="1"/>
    <n v="0"/>
    <n v="1"/>
    <n v="1"/>
    <n v="1"/>
    <n v="0"/>
    <n v="1"/>
  </r>
  <r>
    <x v="135"/>
    <n v="7"/>
    <s v="S"/>
    <s v="0701_S"/>
    <s v="07-01 Sigmoid"/>
    <s v="pat0701_section2"/>
    <n v="0"/>
    <n v="1"/>
    <n v="2"/>
    <n v="1"/>
    <n v="1"/>
    <n v="1"/>
    <n v="1"/>
  </r>
  <r>
    <x v="136"/>
    <n v="7"/>
    <s v="R"/>
    <s v="0705_R"/>
    <s v="07-05 Rectum"/>
    <s v="07-05 Rectum WL"/>
    <n v="0"/>
    <n v="0"/>
    <n v="1"/>
    <n v="1"/>
    <n v="1"/>
    <n v="1"/>
    <n v="1"/>
  </r>
  <r>
    <x v="136"/>
    <n v="7"/>
    <s v="S"/>
    <s v="0705_S"/>
    <s v="07-05 Sigmoid"/>
    <s v="pat0705_section2"/>
    <n v="0"/>
    <n v="0"/>
    <n v="1"/>
    <n v="0"/>
    <n v="0"/>
    <n v="1"/>
    <n v="1"/>
  </r>
  <r>
    <x v="137"/>
    <n v="7"/>
    <s v="R"/>
    <s v="0706_R"/>
    <s v="07-06 Rectum"/>
    <s v="07-06 Rectum WL"/>
    <n v="3"/>
    <n v="5"/>
    <n v="5"/>
    <n v="6"/>
    <n v="13"/>
    <n v="0"/>
    <n v="0"/>
  </r>
  <r>
    <x v="137"/>
    <n v="7"/>
    <s v="S"/>
    <s v="0706_S"/>
    <s v="07-06 Sigmoid"/>
    <s v="pat0706_section2"/>
    <n v="0"/>
    <n v="0"/>
    <n v="1"/>
    <n v="0"/>
    <n v="0"/>
    <n v="1"/>
    <n v="1"/>
  </r>
  <r>
    <x v="138"/>
    <n v="7"/>
    <s v="R"/>
    <s v="0707_R"/>
    <s v="07-07 Rectum"/>
    <s v="07-07 Rectum WL"/>
    <n v="2"/>
    <n v="1"/>
    <n v="1"/>
    <n v="0"/>
    <n v="0"/>
    <n v="0"/>
    <n v="1"/>
  </r>
  <r>
    <x v="138"/>
    <n v="7"/>
    <s v="S"/>
    <s v="0707_S"/>
    <s v="07-07 Sigmoid"/>
    <s v="pat0707_section2"/>
    <n v="0"/>
    <n v="0"/>
    <n v="1"/>
    <n v="0"/>
    <n v="0"/>
    <n v="1"/>
    <n v="1"/>
  </r>
  <r>
    <x v="139"/>
    <n v="7"/>
    <s v="R"/>
    <s v="0709_R"/>
    <s v="07-09 Rectum"/>
    <s v="07-09 Rectum WL"/>
    <n v="0"/>
    <n v="0"/>
    <n v="1"/>
    <n v="1"/>
    <n v="1"/>
    <n v="1"/>
    <n v="1"/>
  </r>
  <r>
    <x v="139"/>
    <n v="7"/>
    <s v="S"/>
    <s v="0709_S"/>
    <s v="07-09 Sigmoid"/>
    <s v="pat0709_section2"/>
    <n v="4"/>
    <n v="7"/>
    <n v="4"/>
    <n v="0"/>
    <n v="0"/>
    <n v="0"/>
    <n v="1"/>
  </r>
  <r>
    <x v="140"/>
    <n v="7"/>
    <s v="S"/>
    <s v="0710_S"/>
    <s v="07-10 Simoid"/>
    <s v="pat0710_section2"/>
    <n v="0"/>
    <n v="0"/>
    <n v="1"/>
    <n v="0"/>
    <n v="0"/>
    <n v="1"/>
    <n v="1"/>
  </r>
  <r>
    <x v="141"/>
    <n v="7"/>
    <s v="R"/>
    <s v="0711_R"/>
    <s v="07-11 Rectum"/>
    <s v="07-11 Rectum WL"/>
    <n v="0"/>
    <n v="0"/>
    <n v="1"/>
    <n v="0"/>
    <n v="0"/>
    <n v="1"/>
    <n v="1"/>
  </r>
  <r>
    <x v="141"/>
    <n v="7"/>
    <s v="S"/>
    <s v="0711_S"/>
    <s v="07-11 Sigmoid"/>
    <s v="pat0711_section2"/>
    <n v="0"/>
    <n v="0"/>
    <n v="1"/>
    <n v="0"/>
    <n v="0"/>
    <n v="1"/>
    <n v="1"/>
  </r>
  <r>
    <x v="142"/>
    <n v="7"/>
    <s v="R"/>
    <s v="0712_R"/>
    <s v="07-12 Rectum"/>
    <s v="07-12 Rectum WL"/>
    <n v="2"/>
    <n v="3"/>
    <n v="3"/>
    <n v="0"/>
    <n v="1"/>
    <n v="0"/>
    <n v="1"/>
  </r>
  <r>
    <x v="142"/>
    <n v="7"/>
    <s v="S"/>
    <s v="0712_S"/>
    <s v="07-12 Sigmoid"/>
    <s v="pat0712_section2"/>
    <n v="4"/>
    <n v="6"/>
    <n v="3"/>
    <n v="2"/>
    <n v="4"/>
    <n v="0"/>
    <n v="0"/>
  </r>
  <r>
    <x v="143"/>
    <n v="7"/>
    <s v="R"/>
    <s v="0713_R"/>
    <s v="07-13 Rectum"/>
    <s v="07-13 Rectum WL"/>
    <n v="0"/>
    <n v="1"/>
    <n v="1"/>
    <n v="0"/>
    <n v="0"/>
    <n v="1"/>
    <n v="1"/>
  </r>
  <r>
    <x v="143"/>
    <n v="7"/>
    <s v="S"/>
    <s v="0713_S"/>
    <s v="07-13 Sigmoid"/>
    <s v="pat0713_section2"/>
    <n v="0"/>
    <n v="1"/>
    <n v="1"/>
    <n v="1"/>
    <n v="3"/>
    <n v="1"/>
    <n v="1"/>
  </r>
  <r>
    <x v="144"/>
    <n v="7"/>
    <s v="S"/>
    <s v="0714_S"/>
    <s v="07-14 Sigmoid"/>
    <s v="pat0714_section2"/>
    <n v="0"/>
    <n v="1"/>
    <n v="2"/>
    <n v="0"/>
    <n v="0"/>
    <n v="1"/>
    <n v="1"/>
  </r>
  <r>
    <x v="145"/>
    <n v="7"/>
    <s v="R"/>
    <s v="0715_R"/>
    <s v="07-15 Rectum"/>
    <s v="07-15 Rectum WL"/>
    <n v="0"/>
    <n v="1"/>
    <n v="1"/>
    <n v="0"/>
    <n v="0"/>
    <n v="1"/>
    <n v="1"/>
  </r>
  <r>
    <x v="145"/>
    <n v="7"/>
    <s v="S"/>
    <s v="0715_S"/>
    <s v="07-15 Sigmoid"/>
    <s v="pat0715_section2"/>
    <n v="0"/>
    <n v="1"/>
    <n v="1"/>
    <n v="0"/>
    <n v="0"/>
    <n v="1"/>
    <n v="1"/>
  </r>
  <r>
    <x v="146"/>
    <n v="7"/>
    <s v="R"/>
    <s v="0716_R"/>
    <s v="07-16 Rectum"/>
    <s v="07-16 Rectum WL"/>
    <n v="0"/>
    <n v="1"/>
    <n v="2"/>
    <n v="0"/>
    <n v="0"/>
    <n v="1"/>
    <n v="1"/>
  </r>
  <r>
    <x v="146"/>
    <n v="7"/>
    <s v="S"/>
    <s v="0716_S"/>
    <s v="07-16 Sigmoid"/>
    <s v="pat0716_section2"/>
    <n v="0"/>
    <n v="1"/>
    <n v="1"/>
    <n v="0"/>
    <n v="0"/>
    <n v="1"/>
    <n v="1"/>
  </r>
  <r>
    <x v="147"/>
    <n v="7"/>
    <s v="R"/>
    <s v="0717_R"/>
    <s v="07-17 Rectum"/>
    <s v="07-17 Rectum WL"/>
    <n v="0"/>
    <n v="0"/>
    <n v="1"/>
    <n v="0"/>
    <n v="0"/>
    <n v="1"/>
    <n v="1"/>
  </r>
  <r>
    <x v="147"/>
    <n v="7"/>
    <s v="S"/>
    <s v="0717_S"/>
    <s v="07-17 Sigmoid"/>
    <s v="pat0717_section2"/>
    <n v="0"/>
    <n v="0"/>
    <n v="1"/>
    <n v="0"/>
    <n v="0"/>
    <n v="1"/>
    <n v="1"/>
  </r>
  <r>
    <x v="148"/>
    <n v="7"/>
    <s v="R"/>
    <s v="0718_R"/>
    <s v="07-18 Rectum"/>
    <s v="07-18 Rectum WL"/>
    <n v="0"/>
    <n v="0"/>
    <n v="1"/>
    <n v="2"/>
    <n v="2"/>
    <n v="1"/>
    <n v="1"/>
  </r>
  <r>
    <x v="148"/>
    <n v="7"/>
    <s v="S"/>
    <s v="0718_S"/>
    <s v="07-18 Sigmoid"/>
    <s v="pat0718_section2"/>
    <n v="0"/>
    <n v="0"/>
    <n v="1"/>
    <n v="2"/>
    <n v="1"/>
    <n v="1"/>
    <n v="1"/>
  </r>
  <r>
    <x v="149"/>
    <n v="7"/>
    <s v="R"/>
    <s v="0719_R"/>
    <s v="07-19 Rectum"/>
    <s v="07-19 rectum wle+1"/>
    <n v="0"/>
    <n v="0"/>
    <n v="1"/>
    <n v="1"/>
    <n v="1"/>
    <n v="1"/>
    <n v="1"/>
  </r>
  <r>
    <x v="149"/>
    <n v="7"/>
    <s v="S"/>
    <s v="0719_S"/>
    <s v="07-19 Sigmoid"/>
    <s v="07-19 sigmoid wle+1"/>
    <n v="0"/>
    <n v="1"/>
    <n v="1"/>
    <n v="1"/>
    <n v="1"/>
    <n v="1"/>
    <n v="1"/>
  </r>
  <r>
    <x v="150"/>
    <n v="7"/>
    <s v="R"/>
    <s v="0720_R"/>
    <s v="07-20 Rectum"/>
    <s v="07-20 rectum wle+1"/>
    <n v="0"/>
    <n v="1"/>
    <n v="1"/>
    <n v="0"/>
    <n v="0"/>
    <n v="1"/>
    <n v="1"/>
  </r>
  <r>
    <x v="150"/>
    <n v="7"/>
    <s v="S"/>
    <s v="0720_S"/>
    <s v="07-20 Sigmoid"/>
    <s v="07-20 sigmoid wle+1"/>
    <n v="0"/>
    <n v="0"/>
    <n v="1"/>
    <n v="0"/>
    <n v="1"/>
    <n v="1"/>
    <n v="1"/>
  </r>
  <r>
    <x v="151"/>
    <n v="7"/>
    <s v="R"/>
    <s v="0723_R"/>
    <s v="07-23 Rectum"/>
    <s v="07-23 rectum wle+1"/>
    <n v="0"/>
    <n v="0"/>
    <n v="1"/>
    <n v="0"/>
    <n v="0"/>
    <n v="1"/>
    <n v="1"/>
  </r>
  <r>
    <x v="151"/>
    <n v="7"/>
    <s v="S"/>
    <s v="0723_S"/>
    <s v="07-23 Sigmoid"/>
    <s v="07-23 sigmoid wle+1"/>
    <n v="0"/>
    <n v="1"/>
    <n v="1"/>
    <n v="0"/>
    <n v="0"/>
    <n v="1"/>
    <n v="1"/>
  </r>
  <r>
    <x v="152"/>
    <n v="7"/>
    <s v="R"/>
    <s v="0725_R"/>
    <s v="07-25 Rectum"/>
    <s v="07-25 rectum wle+1"/>
    <n v="0"/>
    <n v="1"/>
    <n v="1"/>
    <n v="0"/>
    <n v="0"/>
    <n v="1"/>
    <n v="1"/>
  </r>
  <r>
    <x v="152"/>
    <n v="7"/>
    <s v="S"/>
    <s v="0725_S"/>
    <s v="07-25 Sigmoid"/>
    <s v="07-25 sigmoid wle+1"/>
    <n v="0"/>
    <n v="1"/>
    <n v="1"/>
    <n v="0"/>
    <n v="0"/>
    <n v="1"/>
    <n v="1"/>
  </r>
  <r>
    <x v="153"/>
    <n v="7"/>
    <s v="R"/>
    <s v="0727_R"/>
    <s v="07-27 Rectum"/>
    <s v="07-27 rectum wle+1"/>
    <n v="0"/>
    <n v="0"/>
    <n v="1"/>
    <n v="0"/>
    <n v="0"/>
    <n v="1"/>
    <n v="1"/>
  </r>
  <r>
    <x v="153"/>
    <n v="7"/>
    <s v="S"/>
    <s v="0727_S"/>
    <s v="07-27 Sigmoid"/>
    <s v="07-27 sigmoid wle+1"/>
    <n v="0"/>
    <n v="0"/>
    <n v="1"/>
    <n v="0"/>
    <n v="0"/>
    <n v="1"/>
    <n v="1"/>
  </r>
  <r>
    <x v="154"/>
    <n v="7"/>
    <s v="R"/>
    <s v="0728_R"/>
    <s v="07-28 Rectum"/>
    <s v="07-28 rectum wle+1"/>
    <n v="0"/>
    <n v="0"/>
    <n v="1"/>
    <n v="0"/>
    <n v="0"/>
    <n v="1"/>
    <n v="1"/>
  </r>
  <r>
    <x v="154"/>
    <n v="7"/>
    <s v="S"/>
    <s v="0728_S"/>
    <s v="07-28 Sigmoid"/>
    <s v="07-28 sigmoid wle+1"/>
    <n v="0"/>
    <n v="1"/>
    <n v="1"/>
    <n v="0"/>
    <n v="0"/>
    <n v="1"/>
    <n v="1"/>
  </r>
  <r>
    <x v="155"/>
    <n v="7"/>
    <s v="R"/>
    <s v="0729_R"/>
    <s v="07-29 Rectum"/>
    <s v="07-29 rectum wle+1"/>
    <n v="0"/>
    <n v="1"/>
    <n v="1"/>
    <n v="0"/>
    <n v="2"/>
    <n v="1"/>
    <n v="1"/>
  </r>
  <r>
    <x v="155"/>
    <n v="7"/>
    <s v="S"/>
    <s v="0729_S"/>
    <s v="07-29 Sigmoid"/>
    <s v="07-29 sigmoid wle+1"/>
    <n v="2"/>
    <n v="1"/>
    <n v="1"/>
    <n v="0"/>
    <n v="0"/>
    <n v="0"/>
    <n v="1"/>
  </r>
  <r>
    <x v="156"/>
    <n v="7"/>
    <s v="S"/>
    <s v="0731_S"/>
    <s v="07-31 Sigmoid"/>
    <s v="pat0731_section2"/>
    <n v="0"/>
    <n v="1"/>
    <n v="1"/>
    <n v="0"/>
    <n v="0"/>
    <n v="1"/>
    <n v="1"/>
  </r>
  <r>
    <x v="157"/>
    <n v="7"/>
    <s v="R"/>
    <s v="0737_R"/>
    <s v="07-37 Rectum"/>
    <s v="07-37 Rectum WL"/>
    <n v="0"/>
    <n v="1"/>
    <n v="1"/>
    <n v="0"/>
    <n v="0"/>
    <n v="1"/>
    <n v="1"/>
  </r>
  <r>
    <x v="157"/>
    <n v="7"/>
    <s v="S"/>
    <s v="0737_S"/>
    <s v="07-37 Sigmoid"/>
    <s v="pat0737_section2"/>
    <n v="0"/>
    <n v="0"/>
    <n v="1"/>
    <n v="0"/>
    <n v="0"/>
    <n v="1"/>
    <n v="1"/>
  </r>
  <r>
    <x v="158"/>
    <n v="7"/>
    <s v="R"/>
    <s v="0738_R"/>
    <s v="07-38 Rectum"/>
    <s v="07-38 Rectum WL"/>
    <n v="0"/>
    <n v="1"/>
    <n v="1"/>
    <n v="1"/>
    <n v="1"/>
    <n v="1"/>
    <n v="1"/>
  </r>
  <r>
    <x v="158"/>
    <n v="7"/>
    <s v="S"/>
    <s v="0738_S"/>
    <s v="07-38 Sigmoid"/>
    <s v="pat0738_section2"/>
    <n v="0"/>
    <n v="1"/>
    <n v="1"/>
    <n v="0"/>
    <n v="0"/>
    <n v="1"/>
    <n v="1"/>
  </r>
  <r>
    <x v="159"/>
    <n v="7"/>
    <s v="R"/>
    <s v="0739_R"/>
    <s v="07-39 Rectum"/>
    <s v="07-39 Rectum WL"/>
    <n v="0"/>
    <n v="1"/>
    <n v="1"/>
    <n v="0"/>
    <n v="0"/>
    <n v="1"/>
    <n v="1"/>
  </r>
  <r>
    <x v="159"/>
    <n v="7"/>
    <s v="S"/>
    <s v="0739_S"/>
    <s v="07-39 Sigmoid"/>
    <s v="pat0739_section2"/>
    <n v="0"/>
    <n v="1"/>
    <n v="1"/>
    <n v="0"/>
    <n v="0"/>
    <n v="1"/>
    <n v="1"/>
  </r>
  <r>
    <x v="160"/>
    <n v="9"/>
    <s v="R"/>
    <s v="0902_R"/>
    <s v="09002 Rectum C"/>
    <s v="09-02 Rectum WLE_iscan1"/>
    <n v="0"/>
    <n v="0"/>
    <n v="1"/>
    <n v="1"/>
    <n v="0"/>
    <n v="1"/>
    <n v="1"/>
  </r>
  <r>
    <x v="160"/>
    <n v="9"/>
    <s v="S"/>
    <s v="0902_S"/>
    <s v="09002 Sigmoid B"/>
    <s v="09-02 Sigmoid WLE_iscan1"/>
    <n v="0"/>
    <n v="0"/>
    <n v="1"/>
    <n v="0"/>
    <n v="0"/>
    <n v="1"/>
    <n v="1"/>
  </r>
  <r>
    <x v="161"/>
    <n v="9"/>
    <s v="R"/>
    <s v="0907_R"/>
    <s v="09007 Rectum D"/>
    <s v="09-07 Rectum WLE_iscan1"/>
    <n v="0"/>
    <n v="1"/>
    <n v="1"/>
    <n v="0"/>
    <n v="0"/>
    <n v="1"/>
    <n v="1"/>
  </r>
  <r>
    <x v="162"/>
    <n v="9"/>
    <s v="R"/>
    <s v="0909_R"/>
    <s v="09009 Rectum B"/>
    <s v="09-09 Rectum WLE_iscan_1"/>
    <n v="0"/>
    <n v="2"/>
    <n v="1"/>
    <n v="1"/>
    <n v="2"/>
    <n v="1"/>
    <n v="1"/>
  </r>
  <r>
    <x v="162"/>
    <n v="9"/>
    <s v="S"/>
    <s v="0909_S"/>
    <s v="09009 Sigmoid A"/>
    <s v="09-09 Sigmoid WLE_iscan_1"/>
    <n v="0"/>
    <n v="3"/>
    <n v="2"/>
    <n v="1"/>
    <n v="2"/>
    <n v="1"/>
    <n v="1"/>
  </r>
  <r>
    <x v="163"/>
    <n v="9"/>
    <s v="R"/>
    <s v="0910_R"/>
    <s v="09010 Rectum C"/>
    <s v="09-10 Rectum WLE_iscan_1"/>
    <n v="0"/>
    <n v="1"/>
    <n v="1"/>
    <n v="0"/>
    <n v="0"/>
    <n v="1"/>
    <n v="1"/>
  </r>
  <r>
    <x v="163"/>
    <n v="9"/>
    <s v="S"/>
    <s v="0910_S"/>
    <s v="09010 Sigmoid B"/>
    <s v="09-10 Sigmoid WLE_iscan_1"/>
    <n v="4"/>
    <n v="8"/>
    <n v="4"/>
    <n v="0"/>
    <n v="0"/>
    <n v="0"/>
    <n v="1"/>
  </r>
  <r>
    <x v="164"/>
    <n v="9"/>
    <s v="R"/>
    <s v="0912_R"/>
    <s v="09012 Rectum B"/>
    <s v="09-12 Rectum WLE_iscan_1"/>
    <n v="0"/>
    <n v="1"/>
    <n v="1"/>
    <n v="0"/>
    <n v="0"/>
    <n v="1"/>
    <n v="1"/>
  </r>
  <r>
    <x v="164"/>
    <n v="9"/>
    <s v="S"/>
    <s v="0912_S"/>
    <s v="09012 Sigmoid A"/>
    <s v="09-12 sigmoid WLE_iscan1"/>
    <n v="0"/>
    <n v="2"/>
    <n v="1"/>
    <n v="0"/>
    <n v="0"/>
    <n v="1"/>
    <n v="1"/>
  </r>
  <r>
    <x v="165"/>
    <n v="9"/>
    <s v="R"/>
    <s v="0913_R"/>
    <s v="09013 Rectum B"/>
    <s v="09-13 Rectum WLE_iscan_1"/>
    <n v="0"/>
    <n v="2"/>
    <n v="1"/>
    <n v="1"/>
    <n v="0"/>
    <n v="1"/>
    <n v="1"/>
  </r>
  <r>
    <x v="165"/>
    <n v="9"/>
    <s v="S"/>
    <s v="0913_S"/>
    <s v="09013 Sigmoid A"/>
    <s v="09-13 Sigmoid WLE_iscan_1"/>
    <n v="0"/>
    <n v="2"/>
    <n v="1"/>
    <n v="0"/>
    <n v="0"/>
    <n v="1"/>
    <n v="1"/>
  </r>
  <r>
    <x v="166"/>
    <n v="9"/>
    <s v="R"/>
    <s v="0914_R"/>
    <s v="09014 Rectum B"/>
    <s v="09-14 Rectum WLE_iscan_1"/>
    <n v="3"/>
    <n v="6"/>
    <n v="3"/>
    <n v="0"/>
    <n v="0"/>
    <n v="0"/>
    <n v="1"/>
  </r>
  <r>
    <x v="166"/>
    <n v="9"/>
    <s v="S"/>
    <s v="0914_S"/>
    <s v="09014 Sigmoid A"/>
    <s v="09-14 Sigmoid WLE_iscan_1"/>
    <n v="4"/>
    <n v="8"/>
    <n v="4"/>
    <n v="2"/>
    <n v="1"/>
    <n v="0"/>
    <n v="1"/>
  </r>
  <r>
    <x v="167"/>
    <n v="12"/>
    <s v="S"/>
    <s v="1201_S"/>
    <s v="12-01 Sigmoid"/>
    <s v="12-01 sigmoid WLE"/>
    <n v="3"/>
    <n v="1"/>
    <n v="2"/>
    <n v="1"/>
    <n v="1"/>
    <n v="0"/>
    <n v="1"/>
  </r>
  <r>
    <x v="168"/>
    <n v="12"/>
    <s v="R"/>
    <s v="1205_R"/>
    <s v="12-05 Rectum"/>
    <s v="12-05 rectum WL"/>
    <n v="0"/>
    <n v="0"/>
    <n v="2"/>
    <n v="0"/>
    <n v="0"/>
    <n v="1"/>
    <n v="1"/>
  </r>
  <r>
    <x v="168"/>
    <n v="12"/>
    <s v="S"/>
    <s v="1205_S"/>
    <s v="12-05 Sigmoid"/>
    <s v="12-05 sigmoid WL"/>
    <n v="4"/>
    <n v="2"/>
    <n v="3"/>
    <n v="3"/>
    <n v="6"/>
    <n v="0"/>
    <n v="0"/>
  </r>
  <r>
    <x v="169"/>
    <n v="12"/>
    <s v="R"/>
    <s v="1208_R"/>
    <s v="12-08 Rectum"/>
    <s v="12-08 rectum WL"/>
    <n v="0"/>
    <n v="1"/>
    <n v="2"/>
    <n v="0"/>
    <n v="0"/>
    <n v="1"/>
    <n v="1"/>
  </r>
  <r>
    <x v="169"/>
    <n v="12"/>
    <s v="S"/>
    <s v="1208_S"/>
    <s v="12-08 Sigmoid"/>
    <s v="12-08 sigmoid WL"/>
    <n v="4"/>
    <n v="5"/>
    <n v="3"/>
    <n v="4"/>
    <n v="9"/>
    <n v="0"/>
    <n v="0"/>
  </r>
  <r>
    <x v="170"/>
    <n v="12"/>
    <s v="S"/>
    <s v="1209_S"/>
    <s v="12-09 Sigmoid"/>
    <s v="12-09 sigmoid WL"/>
    <n v="0"/>
    <n v="0"/>
    <n v="1"/>
    <n v="1"/>
    <n v="0"/>
    <n v="1"/>
    <n v="1"/>
  </r>
  <r>
    <x v="171"/>
    <n v="12"/>
    <s v="R"/>
    <s v="1210_R"/>
    <s v="12-10 Rectum"/>
    <s v="12-10 rectum WL"/>
    <n v="0"/>
    <n v="0"/>
    <n v="2"/>
    <n v="1"/>
    <n v="0"/>
    <n v="1"/>
    <n v="1"/>
  </r>
  <r>
    <x v="171"/>
    <n v="12"/>
    <s v="S"/>
    <s v="1210_S"/>
    <s v="12-10 Sigmoid"/>
    <s v="12-10 sigmoid WL"/>
    <n v="0"/>
    <n v="0"/>
    <n v="2"/>
    <n v="1"/>
    <n v="0"/>
    <n v="1"/>
    <n v="1"/>
  </r>
  <r>
    <x v="172"/>
    <n v="12"/>
    <s v="R"/>
    <s v="1214_R"/>
    <s v="12-14 Rectum"/>
    <s v="12-14 rectum WL (no VCE)"/>
    <n v="4"/>
    <n v="12"/>
    <n v="5"/>
    <n v="7"/>
    <n v="15"/>
    <n v="0"/>
    <n v="0"/>
  </r>
  <r>
    <x v="172"/>
    <n v="12"/>
    <s v="S"/>
    <s v="1214_S"/>
    <s v="12-14 Sigmoid"/>
    <s v="12-14 sigmoid WL"/>
    <n v="4"/>
    <n v="12"/>
    <n v="5"/>
    <n v="7"/>
    <n v="15"/>
    <n v="0"/>
    <n v="0"/>
  </r>
  <r>
    <x v="173"/>
    <n v="12"/>
    <s v="R"/>
    <s v="1216_R"/>
    <s v="12-16 Rectum"/>
    <s v="12-16 rectum WL"/>
    <n v="2"/>
    <n v="1"/>
    <n v="2"/>
    <n v="1"/>
    <n v="3"/>
    <n v="0"/>
    <n v="1"/>
  </r>
  <r>
    <x v="173"/>
    <n v="12"/>
    <s v="S"/>
    <s v="1216_S"/>
    <s v="12-16 Sigmoid"/>
    <s v="12-16 sigmoid WL"/>
    <n v="2"/>
    <n v="7"/>
    <n v="3"/>
    <n v="5"/>
    <n v="12"/>
    <n v="0"/>
    <n v="0"/>
  </r>
  <r>
    <x v="174"/>
    <n v="12"/>
    <s v="R"/>
    <s v="1217_R"/>
    <s v="12-17 Rectum"/>
    <s v="12-17 rectum WL"/>
    <n v="0"/>
    <n v="0"/>
    <n v="1"/>
    <n v="0"/>
    <n v="0"/>
    <n v="1"/>
    <n v="1"/>
  </r>
  <r>
    <x v="174"/>
    <n v="12"/>
    <s v="S"/>
    <s v="1217_S"/>
    <s v="12-17 Sigmoid"/>
    <s v="12-17 sigmoid WL"/>
    <n v="0"/>
    <n v="0"/>
    <n v="1"/>
    <n v="0"/>
    <n v="0"/>
    <n v="1"/>
    <n v="1"/>
  </r>
  <r>
    <x v="175"/>
    <n v="12"/>
    <s v="R"/>
    <s v="1218_R"/>
    <s v="12-18 Rektum"/>
    <s v="12-18 rectum WL"/>
    <n v="2"/>
    <n v="1"/>
    <n v="1"/>
    <n v="3"/>
    <n v="3"/>
    <n v="0"/>
    <n v="1"/>
  </r>
  <r>
    <x v="175"/>
    <n v="12"/>
    <s v="S"/>
    <s v="1218_S"/>
    <s v="12-18 Sigmoid"/>
    <s v="12-18 sigmoid WL"/>
    <n v="3"/>
    <n v="1"/>
    <n v="1"/>
    <n v="4"/>
    <n v="6"/>
    <n v="0"/>
    <n v="0"/>
  </r>
  <r>
    <x v="176"/>
    <n v="12"/>
    <s v="R"/>
    <s v="1219_R"/>
    <s v="12-19 Rectum"/>
    <s v="12-19 rectum WL"/>
    <n v="0"/>
    <n v="1"/>
    <n v="1"/>
    <n v="1"/>
    <n v="3"/>
    <n v="1"/>
    <n v="1"/>
  </r>
  <r>
    <x v="176"/>
    <n v="12"/>
    <s v="S"/>
    <s v="1219_S"/>
    <s v="12-19 Sigmoid"/>
    <s v="12-19 sigmoid WL"/>
    <n v="0"/>
    <n v="1"/>
    <n v="1"/>
    <n v="1"/>
    <n v="0"/>
    <n v="1"/>
    <n v="1"/>
  </r>
  <r>
    <x v="177"/>
    <n v="12"/>
    <s v="R"/>
    <s v="1221_R"/>
    <s v="12-21 Rectum"/>
    <s v="12-21 rectum WL"/>
    <n v="2"/>
    <n v="9"/>
    <n v="5"/>
    <n v="8"/>
    <n v="15"/>
    <n v="0"/>
    <n v="0"/>
  </r>
  <r>
    <x v="177"/>
    <n v="12"/>
    <s v="S"/>
    <s v="1221_S"/>
    <s v="12-21 Sigmoid"/>
    <s v="12-21 sigmoid WL"/>
    <n v="2"/>
    <n v="9"/>
    <n v="5"/>
    <n v="8"/>
    <n v="15"/>
    <n v="0"/>
    <n v="0"/>
  </r>
  <r>
    <x v="178"/>
    <n v="12"/>
    <s v="R"/>
    <s v="1222_R"/>
    <s v="12-22 Rectum"/>
    <s v="12-22 rectum WLE"/>
    <n v="4"/>
    <n v="7"/>
    <n v="3"/>
    <n v="6"/>
    <n v="10"/>
    <n v="0"/>
    <n v="0"/>
  </r>
  <r>
    <x v="178"/>
    <n v="12"/>
    <s v="S"/>
    <s v="1222_S"/>
    <s v="12-22 Sigmoid"/>
    <s v="12-22 sigmoid WL"/>
    <n v="0"/>
    <n v="0"/>
    <n v="1"/>
    <n v="3"/>
    <n v="1"/>
    <n v="1"/>
    <n v="1"/>
  </r>
  <r>
    <x v="179"/>
    <n v="13"/>
    <s v="R"/>
    <s v="1301_R"/>
    <s v="13-01_RECTUM"/>
    <s v="13-01 rectum WL"/>
    <n v="0"/>
    <n v="0"/>
    <n v="1"/>
    <n v="1"/>
    <n v="0"/>
    <n v="1"/>
    <n v="1"/>
  </r>
  <r>
    <x v="179"/>
    <n v="13"/>
    <s v="S"/>
    <s v="1301_S"/>
    <s v="13-01_SIGMOID"/>
    <s v="13-01 sigmoid WL"/>
    <n v="0"/>
    <n v="0"/>
    <n v="1"/>
    <n v="0"/>
    <n v="0"/>
    <n v="1"/>
    <n v="1"/>
  </r>
  <r>
    <x v="180"/>
    <n v="13"/>
    <s v="R"/>
    <s v="1302_R"/>
    <s v="13-02_RECTUM"/>
    <s v="13-02 rectum WL"/>
    <n v="3"/>
    <n v="10"/>
    <n v="4"/>
    <n v="1"/>
    <n v="1"/>
    <n v="0"/>
    <n v="1"/>
  </r>
  <r>
    <x v="180"/>
    <n v="13"/>
    <s v="S"/>
    <s v="1302_S"/>
    <s v="13-02_SIGMOID"/>
    <s v="13-02 sigmoid WL"/>
    <n v="4"/>
    <n v="10"/>
    <n v="4"/>
    <n v="3"/>
    <n v="8"/>
    <n v="0"/>
    <n v="0"/>
  </r>
  <r>
    <x v="181"/>
    <n v="13"/>
    <s v="R"/>
    <s v="1303_R"/>
    <s v="13-03_RECTUM"/>
    <s v="13-03 rectum WL"/>
    <n v="0"/>
    <n v="0"/>
    <n v="1"/>
    <n v="1"/>
    <n v="0"/>
    <n v="1"/>
    <n v="1"/>
  </r>
  <r>
    <x v="181"/>
    <n v="13"/>
    <s v="S"/>
    <s v="1303_S"/>
    <s v="13-03_SIGMOID"/>
    <s v="13-03 sigmoid WL"/>
    <n v="0"/>
    <n v="0"/>
    <n v="1"/>
    <n v="1"/>
    <n v="0"/>
    <n v="1"/>
    <n v="1"/>
  </r>
  <r>
    <x v="182"/>
    <n v="13"/>
    <s v="S"/>
    <s v="1304_S"/>
    <s v="13-04_SIGMOID"/>
    <s v="13-04 sigmoid WL"/>
    <n v="1"/>
    <n v="3"/>
    <n v="3"/>
    <n v="2"/>
    <n v="1"/>
    <n v="0"/>
    <n v="1"/>
  </r>
  <r>
    <x v="183"/>
    <n v="13"/>
    <s v="R"/>
    <s v="1305_R"/>
    <s v="13-05_RECTUM"/>
    <s v="pat1305_section1"/>
    <n v="0"/>
    <n v="0"/>
    <n v="1"/>
    <n v="1"/>
    <n v="0"/>
    <n v="1"/>
    <n v="1"/>
  </r>
  <r>
    <x v="183"/>
    <n v="13"/>
    <s v="S"/>
    <s v="1305_S"/>
    <s v="13-05_SIGMOID"/>
    <s v="13-05 sigmoid WL"/>
    <n v="4"/>
    <n v="10"/>
    <n v="4"/>
    <n v="3"/>
    <n v="4"/>
    <n v="0"/>
    <n v="0"/>
  </r>
  <r>
    <x v="184"/>
    <n v="13"/>
    <s v="R"/>
    <s v="1306_R"/>
    <s v="13-06_RECTUM"/>
    <s v="13-06 rectum WL"/>
    <n v="4"/>
    <n v="8"/>
    <n v="4"/>
    <n v="3"/>
    <n v="7"/>
    <n v="0"/>
    <n v="0"/>
  </r>
  <r>
    <x v="184"/>
    <n v="13"/>
    <s v="S"/>
    <s v="1306_S"/>
    <s v="13-06_SIGMOID"/>
    <s v="13-06 sigmoid WL"/>
    <n v="4"/>
    <n v="8"/>
    <n v="4"/>
    <n v="2"/>
    <n v="4"/>
    <n v="0"/>
    <n v="0"/>
  </r>
  <r>
    <x v="185"/>
    <n v="13"/>
    <s v="R"/>
    <s v="1307_R"/>
    <s v="13-07_RECTUM"/>
    <s v="13-07 rectum WL"/>
    <n v="3"/>
    <n v="3"/>
    <n v="2"/>
    <n v="3"/>
    <n v="8"/>
    <n v="0"/>
    <n v="0"/>
  </r>
  <r>
    <x v="185"/>
    <n v="13"/>
    <s v="S"/>
    <s v="1307_S"/>
    <s v="13-07_SIGMOID"/>
    <s v="13-07 sigmoid WL"/>
    <n v="4"/>
    <n v="10"/>
    <n v="4"/>
    <n v="2"/>
    <n v="5"/>
    <n v="0"/>
    <n v="0"/>
  </r>
  <r>
    <x v="186"/>
    <n v="13"/>
    <s v="R"/>
    <s v="1308_R"/>
    <s v="13-08_RECTUM"/>
    <s v="13-08 rectum WLE"/>
    <n v="1"/>
    <n v="0"/>
    <n v="1"/>
    <n v="1"/>
    <n v="1"/>
    <n v="0"/>
    <n v="1"/>
  </r>
  <r>
    <x v="186"/>
    <n v="13"/>
    <s v="S"/>
    <s v="1308_S"/>
    <s v="13-08_SIGMOID"/>
    <s v="13-08 sigmoid WLE"/>
    <n v="2"/>
    <n v="1"/>
    <n v="1"/>
    <n v="2"/>
    <n v="8"/>
    <n v="0"/>
    <n v="0"/>
  </r>
  <r>
    <x v="187"/>
    <n v="13"/>
    <s v="R"/>
    <s v="1309_R"/>
    <s v="13-09_RECTUM"/>
    <s v="13-09 rectum WLE1"/>
    <n v="2"/>
    <n v="4"/>
    <n v="3"/>
    <n v="6"/>
    <n v="14"/>
    <n v="0"/>
    <n v="0"/>
  </r>
  <r>
    <x v="187"/>
    <n v="13"/>
    <s v="S"/>
    <s v="1309_S"/>
    <s v="13-09_SIGMOID"/>
    <s v="13-09 sigmoid WLE"/>
    <n v="2"/>
    <n v="7"/>
    <n v="3"/>
    <n v="3"/>
    <n v="8"/>
    <n v="0"/>
    <n v="0"/>
  </r>
  <r>
    <x v="188"/>
    <n v="13"/>
    <s v="R"/>
    <s v="1310_R"/>
    <s v="13-10_RECTUM"/>
    <s v="13-10 rectum WLE"/>
    <n v="0"/>
    <n v="0"/>
    <n v="1"/>
    <n v="1"/>
    <n v="0"/>
    <n v="1"/>
    <n v="1"/>
  </r>
  <r>
    <x v="188"/>
    <n v="13"/>
    <s v="S"/>
    <s v="1310_S"/>
    <s v="13-10_SIGMOID"/>
    <s v="13-10 sigmoid WLE"/>
    <n v="0"/>
    <n v="0"/>
    <n v="1"/>
    <n v="0"/>
    <n v="0"/>
    <n v="1"/>
    <n v="1"/>
  </r>
  <r>
    <x v="189"/>
    <n v="13"/>
    <s v="R"/>
    <s v="1311_R"/>
    <s v="13-11_RECTUM"/>
    <s v="13-11 rectum WLE"/>
    <n v="0"/>
    <n v="0"/>
    <n v="1"/>
    <n v="0"/>
    <n v="0"/>
    <n v="1"/>
    <n v="1"/>
  </r>
  <r>
    <x v="189"/>
    <n v="13"/>
    <s v="S"/>
    <s v="1311_S"/>
    <s v="13-11_SIGMOID"/>
    <s v="13-11 sigmoid  WLE"/>
    <n v="0"/>
    <n v="0"/>
    <n v="1"/>
    <n v="0"/>
    <n v="0"/>
    <n v="1"/>
    <n v="1"/>
  </r>
  <r>
    <x v="190"/>
    <n v="13"/>
    <s v="R"/>
    <s v="1312_R"/>
    <s v="13-12_RECTUM"/>
    <s v="13-12 rectum WLE"/>
    <n v="0"/>
    <n v="0"/>
    <n v="1"/>
    <n v="1"/>
    <n v="0"/>
    <n v="1"/>
    <n v="1"/>
  </r>
  <r>
    <x v="190"/>
    <n v="13"/>
    <s v="S"/>
    <s v="1312_S"/>
    <s v="13-12_SIGMOID"/>
    <s v="13-12 sigmoid WLE"/>
    <n v="0"/>
    <n v="0"/>
    <n v="1"/>
    <n v="0"/>
    <n v="0"/>
    <n v="1"/>
    <n v="1"/>
  </r>
  <r>
    <x v="191"/>
    <n v="13"/>
    <s v="R"/>
    <s v="1313_R"/>
    <s v="13-13_Rectum"/>
    <s v="13-13 rectum WLE"/>
    <n v="0"/>
    <n v="0"/>
    <n v="1"/>
    <n v="0"/>
    <n v="3"/>
    <n v="1"/>
    <n v="1"/>
  </r>
  <r>
    <x v="191"/>
    <n v="13"/>
    <s v="S"/>
    <s v="1313_S"/>
    <s v="13-13_Sigmoid"/>
    <s v="13-13 sigmoid WLE"/>
    <n v="0"/>
    <n v="0"/>
    <n v="1"/>
    <n v="0"/>
    <n v="1"/>
    <n v="1"/>
    <n v="1"/>
  </r>
  <r>
    <x v="192"/>
    <n v="13"/>
    <s v="R"/>
    <s v="1314_R"/>
    <s v="13-14_Rectum"/>
    <s v="13-14 rectum WLE"/>
    <n v="0"/>
    <n v="0"/>
    <n v="1"/>
    <n v="0"/>
    <n v="0"/>
    <n v="1"/>
    <n v="1"/>
  </r>
  <r>
    <x v="192"/>
    <n v="13"/>
    <s v="S"/>
    <s v="1314_S"/>
    <s v="13-14_Sigmoid"/>
    <s v="13-14 sigmoid WLE"/>
    <n v="0"/>
    <n v="0"/>
    <n v="1"/>
    <n v="0"/>
    <n v="0"/>
    <n v="1"/>
    <n v="1"/>
  </r>
  <r>
    <x v="193"/>
    <n v="13"/>
    <s v="R"/>
    <s v="1315_R"/>
    <s v="13-15_Rectum"/>
    <s v="13-15 rectum WLE"/>
    <n v="0"/>
    <n v="0"/>
    <n v="1"/>
    <n v="0"/>
    <n v="0"/>
    <n v="1"/>
    <n v="1"/>
  </r>
  <r>
    <x v="193"/>
    <n v="13"/>
    <s v="S"/>
    <s v="1315_S"/>
    <s v="13-15_Sigmoid"/>
    <s v="13-15 sigmoid WLE"/>
    <n v="0"/>
    <n v="0"/>
    <n v="1"/>
    <n v="0"/>
    <n v="0"/>
    <n v="1"/>
    <n v="1"/>
  </r>
  <r>
    <x v="194"/>
    <n v="13"/>
    <s v="R"/>
    <s v="1316_R"/>
    <s v="13-16_Rectum"/>
    <s v="13-16 rectum WLE"/>
    <n v="2"/>
    <n v="3"/>
    <n v="3"/>
    <n v="1"/>
    <n v="3"/>
    <n v="0"/>
    <n v="1"/>
  </r>
  <r>
    <x v="194"/>
    <n v="13"/>
    <s v="S"/>
    <s v="1316_S"/>
    <s v="13-16_Sigmoid"/>
    <s v="13-16 sigmoid WLE"/>
    <n v="4"/>
    <n v="3"/>
    <n v="3"/>
    <n v="0"/>
    <n v="1"/>
    <n v="0"/>
    <n v="1"/>
  </r>
  <r>
    <x v="195"/>
    <n v="13"/>
    <s v="R"/>
    <s v="1317_R"/>
    <s v="13-17_Rectum"/>
    <s v="13-17 rectum WLE"/>
    <n v="3"/>
    <n v="7"/>
    <n v="3"/>
    <n v="2"/>
    <n v="3"/>
    <n v="0"/>
    <n v="1"/>
  </r>
  <r>
    <x v="195"/>
    <n v="13"/>
    <s v="S"/>
    <s v="1317_S"/>
    <s v="13-17_Sigmoid"/>
    <s v="13-17 sigmoid WLE"/>
    <n v="0"/>
    <n v="0"/>
    <n v="1"/>
    <n v="0"/>
    <n v="0"/>
    <n v="1"/>
    <n v="1"/>
  </r>
  <r>
    <x v="196"/>
    <n v="13"/>
    <s v="R"/>
    <s v="1318_R"/>
    <s v="13-18_Rectum"/>
    <s v="13-18 rectum WLE"/>
    <n v="2"/>
    <n v="2"/>
    <n v="3"/>
    <n v="1"/>
    <n v="1"/>
    <n v="0"/>
    <n v="1"/>
  </r>
  <r>
    <x v="196"/>
    <n v="13"/>
    <s v="S"/>
    <s v="1318_S"/>
    <s v="13-18_Sigmoid"/>
    <s v="13-18 sigmoid WLE"/>
    <n v="0"/>
    <n v="0"/>
    <n v="1"/>
    <n v="0"/>
    <n v="0"/>
    <n v="1"/>
    <n v="1"/>
  </r>
  <r>
    <x v="197"/>
    <n v="13"/>
    <s v="R"/>
    <s v="1319_R"/>
    <s v="13-19_Rectum"/>
    <s v="13-19 rectum WLE"/>
    <n v="0"/>
    <n v="0"/>
    <n v="1"/>
    <n v="1"/>
    <n v="0"/>
    <n v="1"/>
    <n v="1"/>
  </r>
  <r>
    <x v="197"/>
    <n v="13"/>
    <s v="S"/>
    <s v="1319_S"/>
    <s v="13-19_Sigmoid"/>
    <s v="13-19 sigmoid WLE"/>
    <n v="1"/>
    <n v="3"/>
    <n v="3"/>
    <n v="2"/>
    <n v="5"/>
    <n v="0"/>
    <n v="0"/>
  </r>
  <r>
    <x v="198"/>
    <n v="13"/>
    <s v="R"/>
    <s v="1320_R"/>
    <s v="13-20_Rectum"/>
    <s v="13-20 rectum WLE"/>
    <n v="1"/>
    <n v="0"/>
    <n v="1"/>
    <n v="1"/>
    <n v="1"/>
    <n v="0"/>
    <n v="1"/>
  </r>
  <r>
    <x v="198"/>
    <n v="13"/>
    <s v="S"/>
    <s v="1320_S"/>
    <s v="13-20_Sigmoid"/>
    <s v="13-20 sigmoid WLE"/>
    <n v="4"/>
    <n v="11"/>
    <n v="5"/>
    <n v="3"/>
    <n v="9"/>
    <n v="0"/>
    <n v="0"/>
  </r>
  <r>
    <x v="199"/>
    <n v="13"/>
    <s v="R"/>
    <s v="1321_R"/>
    <s v="13-21_Rectum"/>
    <s v="13-21 rectum WLE"/>
    <n v="3"/>
    <n v="3"/>
    <n v="3"/>
    <n v="1"/>
    <n v="1"/>
    <n v="0"/>
    <n v="1"/>
  </r>
  <r>
    <x v="199"/>
    <n v="13"/>
    <s v="S"/>
    <s v="1321_S"/>
    <s v="13-21_Sigmoid"/>
    <s v="13-21 sigmoid WLE"/>
    <n v="0"/>
    <n v="1"/>
    <n v="1"/>
    <n v="0"/>
    <n v="0"/>
    <n v="1"/>
    <n v="1"/>
  </r>
  <r>
    <x v="200"/>
    <n v="13"/>
    <s v="R"/>
    <s v="1322_R"/>
    <s v="13-22_Rectum"/>
    <s v="13-22 rectum WLE"/>
    <n v="1"/>
    <n v="0"/>
    <n v="1"/>
    <n v="1"/>
    <n v="0"/>
    <n v="0"/>
    <n v="1"/>
  </r>
  <r>
    <x v="200"/>
    <n v="13"/>
    <s v="S"/>
    <s v="1322_S"/>
    <s v="13-22_Sigmoid"/>
    <s v="13-22 sigmoid WLE"/>
    <n v="4"/>
    <n v="11"/>
    <n v="4"/>
    <n v="3"/>
    <n v="8"/>
    <n v="0"/>
    <n v="0"/>
  </r>
  <r>
    <x v="201"/>
    <n v="13"/>
    <s v="S"/>
    <s v="1323_S"/>
    <s v="13-23_Sigmoid"/>
    <s v="13-23 rectum WLE"/>
    <n v="0"/>
    <n v="0"/>
    <n v="1"/>
    <n v="0"/>
    <n v="0"/>
    <n v="1"/>
    <n v="1"/>
  </r>
  <r>
    <x v="202"/>
    <n v="13"/>
    <s v="R"/>
    <s v="1324_R"/>
    <s v="13-24_Rectum"/>
    <s v="13-24 rectum WLE"/>
    <n v="0"/>
    <n v="0"/>
    <n v="1"/>
    <n v="1"/>
    <n v="1"/>
    <n v="1"/>
    <n v="1"/>
  </r>
  <r>
    <x v="202"/>
    <n v="13"/>
    <s v="S"/>
    <s v="1324_S"/>
    <s v="13-24_Sigmoid"/>
    <s v="13-24 sigmoid WLE"/>
    <n v="0"/>
    <n v="0"/>
    <n v="1"/>
    <n v="1"/>
    <n v="0"/>
    <n v="1"/>
    <n v="1"/>
  </r>
  <r>
    <x v="203"/>
    <n v="13"/>
    <s v="R"/>
    <s v="1325_R"/>
    <s v="13-25_Rectum"/>
    <s v="13-25 rectum WLE"/>
    <n v="0"/>
    <n v="0"/>
    <n v="1"/>
    <n v="1"/>
    <n v="1"/>
    <n v="1"/>
    <n v="1"/>
  </r>
  <r>
    <x v="203"/>
    <n v="13"/>
    <s v="S"/>
    <s v="1325_S"/>
    <s v="13-25_Sigmoid"/>
    <s v="13-25 sigmoid WLE"/>
    <n v="0"/>
    <n v="0"/>
    <n v="1"/>
    <n v="0"/>
    <n v="0"/>
    <n v="1"/>
    <n v="1"/>
  </r>
  <r>
    <x v="204"/>
    <n v="13"/>
    <s v="R"/>
    <s v="1326_R"/>
    <s v="13-26_Rectum"/>
    <s v="13-26 rectum WLE"/>
    <n v="1"/>
    <n v="1"/>
    <n v="1"/>
    <n v="1"/>
    <n v="2"/>
    <n v="0"/>
    <n v="1"/>
  </r>
  <r>
    <x v="204"/>
    <n v="13"/>
    <s v="S"/>
    <s v="1326_S"/>
    <s v="13-26_Sigmoid"/>
    <s v="13-26 sigmoid WLE"/>
    <n v="2"/>
    <n v="1"/>
    <n v="1"/>
    <n v="1"/>
    <n v="1"/>
    <n v="0"/>
    <n v="1"/>
  </r>
  <r>
    <x v="205"/>
    <n v="13"/>
    <s v="R"/>
    <s v="1327_R"/>
    <s v="13-27_Rectum"/>
    <s v="13-27 rectum WLE"/>
    <n v="4"/>
    <n v="9"/>
    <n v="5"/>
    <n v="6"/>
    <n v="15"/>
    <n v="0"/>
    <n v="0"/>
  </r>
  <r>
    <x v="205"/>
    <n v="13"/>
    <s v="S"/>
    <s v="1327_S"/>
    <s v="13-27_Sigmoid"/>
    <s v="13-27 sigmoid WLE"/>
    <n v="4"/>
    <n v="11"/>
    <n v="4"/>
    <n v="3"/>
    <n v="3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AC7603-5EAE-43D0-A60B-E44D24A18506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10" firstHeaderRow="0" firstDataRow="1" firstDataCol="1"/>
  <pivotFields count="13">
    <pivotField axis="axisRow" showAll="0">
      <items count="2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20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 t="grand">
      <x/>
    </i>
  </rowItems>
  <colFields count="1">
    <field x="-2"/>
  </colFields>
  <colItems count="2">
    <i>
      <x/>
    </i>
    <i i="1">
      <x v="1"/>
    </i>
  </colItems>
  <dataFields count="2">
    <dataField name="Máx. de PICASSO" fld="10" subtotal="max" baseField="0" baseItem="0"/>
    <dataField name="Máx. de PHRI" fld="6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1"/>
  <sheetViews>
    <sheetView topLeftCell="N1" zoomScale="70" zoomScaleNormal="85" workbookViewId="0">
      <selection activeCell="Q14" sqref="Q14"/>
    </sheetView>
  </sheetViews>
  <sheetFormatPr baseColWidth="10" defaultColWidth="9.109375" defaultRowHeight="14.4" x14ac:dyDescent="0.3"/>
  <cols>
    <col min="1" max="1" width="6.109375" customWidth="1"/>
    <col min="2" max="2" width="7" bestFit="1" customWidth="1"/>
    <col min="3" max="4" width="7.33203125" customWidth="1"/>
    <col min="5" max="5" width="17.44140625" customWidth="1"/>
    <col min="6" max="6" width="25" customWidth="1"/>
    <col min="7" max="7" width="5.33203125" customWidth="1"/>
    <col min="8" max="8" width="4.109375" customWidth="1"/>
    <col min="9" max="9" width="4.44140625" customWidth="1"/>
    <col min="10" max="10" width="6.109375" customWidth="1"/>
    <col min="11" max="11" width="8.6640625" customWidth="1"/>
    <col min="14" max="14" width="11.6640625" bestFit="1" customWidth="1"/>
    <col min="17" max="17" width="26.109375" customWidth="1"/>
    <col min="18" max="18" width="16.5546875" customWidth="1"/>
    <col min="19" max="19" width="17.88671875" customWidth="1"/>
  </cols>
  <sheetData>
    <row r="1" spans="1:23" x14ac:dyDescent="0.3">
      <c r="A1" t="s">
        <v>0</v>
      </c>
      <c r="B1" t="s">
        <v>1298</v>
      </c>
      <c r="C1" t="s">
        <v>207</v>
      </c>
      <c r="D1" t="s">
        <v>210</v>
      </c>
      <c r="E1" t="s">
        <v>571</v>
      </c>
      <c r="F1" t="s">
        <v>932</v>
      </c>
      <c r="G1" t="s">
        <v>1293</v>
      </c>
      <c r="H1" t="s">
        <v>1294</v>
      </c>
      <c r="I1" t="s">
        <v>1295</v>
      </c>
      <c r="J1" t="s">
        <v>1296</v>
      </c>
      <c r="K1" t="s">
        <v>1297</v>
      </c>
      <c r="L1" t="s">
        <v>1300</v>
      </c>
      <c r="M1" t="s">
        <v>1301</v>
      </c>
      <c r="Q1" t="s">
        <v>1299</v>
      </c>
    </row>
    <row r="2" spans="1:23" x14ac:dyDescent="0.3">
      <c r="A2" t="s">
        <v>1</v>
      </c>
      <c r="B2">
        <v>1</v>
      </c>
      <c r="C2" t="s">
        <v>208</v>
      </c>
      <c r="D2" t="s">
        <v>211</v>
      </c>
      <c r="E2" t="s">
        <v>572</v>
      </c>
      <c r="F2" t="s">
        <v>933</v>
      </c>
      <c r="G2">
        <v>3</v>
      </c>
      <c r="H2">
        <v>8</v>
      </c>
      <c r="I2">
        <v>5</v>
      </c>
      <c r="J2">
        <v>5</v>
      </c>
      <c r="K2">
        <v>13</v>
      </c>
      <c r="L2">
        <f t="shared" ref="L2:L66" si="0">IF(G2=0,1,0)</f>
        <v>0</v>
      </c>
      <c r="M2">
        <f>IF(K2&lt;4,1,0)</f>
        <v>0</v>
      </c>
      <c r="Q2">
        <f>CORREL(G2:G361,K2:K361)</f>
        <v>0.72126207114539764</v>
      </c>
    </row>
    <row r="3" spans="1:23" x14ac:dyDescent="0.3">
      <c r="A3" t="s">
        <v>1</v>
      </c>
      <c r="B3">
        <v>1</v>
      </c>
      <c r="C3" t="s">
        <v>209</v>
      </c>
      <c r="D3" t="s">
        <v>212</v>
      </c>
      <c r="E3" t="s">
        <v>573</v>
      </c>
      <c r="F3" t="s">
        <v>934</v>
      </c>
      <c r="G3">
        <v>3</v>
      </c>
      <c r="H3">
        <v>2</v>
      </c>
      <c r="I3">
        <v>3</v>
      </c>
      <c r="J3">
        <v>2</v>
      </c>
      <c r="K3">
        <v>0</v>
      </c>
      <c r="L3">
        <f t="shared" si="0"/>
        <v>0</v>
      </c>
      <c r="M3">
        <f t="shared" ref="M3:M66" si="1">IF(K3&lt;4,1,0)</f>
        <v>1</v>
      </c>
    </row>
    <row r="4" spans="1:23" x14ac:dyDescent="0.3">
      <c r="A4" t="s">
        <v>2</v>
      </c>
      <c r="B4">
        <v>1</v>
      </c>
      <c r="C4" t="s">
        <v>208</v>
      </c>
      <c r="D4" t="s">
        <v>213</v>
      </c>
      <c r="E4" t="s">
        <v>574</v>
      </c>
      <c r="F4" t="s">
        <v>935</v>
      </c>
      <c r="G4">
        <v>0</v>
      </c>
      <c r="H4">
        <v>1</v>
      </c>
      <c r="I4">
        <v>1</v>
      </c>
      <c r="J4">
        <v>0</v>
      </c>
      <c r="K4">
        <v>0</v>
      </c>
      <c r="L4">
        <f t="shared" si="0"/>
        <v>1</v>
      </c>
      <c r="M4">
        <f t="shared" si="1"/>
        <v>1</v>
      </c>
    </row>
    <row r="5" spans="1:23" ht="28.8" x14ac:dyDescent="0.3">
      <c r="A5" t="s">
        <v>2</v>
      </c>
      <c r="B5">
        <v>1</v>
      </c>
      <c r="C5" t="s">
        <v>209</v>
      </c>
      <c r="D5" t="s">
        <v>214</v>
      </c>
      <c r="E5" t="s">
        <v>575</v>
      </c>
      <c r="F5" t="s">
        <v>936</v>
      </c>
      <c r="G5">
        <v>0</v>
      </c>
      <c r="H5">
        <v>1</v>
      </c>
      <c r="I5">
        <v>1</v>
      </c>
      <c r="J5">
        <v>1</v>
      </c>
      <c r="K5">
        <v>0</v>
      </c>
      <c r="L5">
        <f t="shared" si="0"/>
        <v>1</v>
      </c>
      <c r="M5">
        <f t="shared" si="1"/>
        <v>1</v>
      </c>
      <c r="R5" s="6" t="s">
        <v>1303</v>
      </c>
      <c r="S5" s="6" t="s">
        <v>1302</v>
      </c>
    </row>
    <row r="6" spans="1:23" x14ac:dyDescent="0.3">
      <c r="A6" t="s">
        <v>3</v>
      </c>
      <c r="B6">
        <v>1</v>
      </c>
      <c r="C6" t="s">
        <v>208</v>
      </c>
      <c r="D6" t="s">
        <v>215</v>
      </c>
      <c r="E6" t="s">
        <v>576</v>
      </c>
      <c r="F6" t="s">
        <v>937</v>
      </c>
      <c r="G6">
        <v>0</v>
      </c>
      <c r="H6">
        <v>0</v>
      </c>
      <c r="I6">
        <v>1</v>
      </c>
      <c r="J6">
        <v>1</v>
      </c>
      <c r="K6">
        <v>0</v>
      </c>
      <c r="L6">
        <f t="shared" si="0"/>
        <v>1</v>
      </c>
      <c r="M6">
        <f t="shared" si="1"/>
        <v>1</v>
      </c>
      <c r="Q6" s="5" t="s">
        <v>1305</v>
      </c>
      <c r="R6" s="3">
        <f>COUNTIFS(L:L,1, M:M,1)</f>
        <v>248</v>
      </c>
      <c r="S6" s="3">
        <f>COUNTIFS(L:L,0, M:M,1)</f>
        <v>43</v>
      </c>
      <c r="V6" t="s">
        <v>1306</v>
      </c>
      <c r="W6" t="s">
        <v>1307</v>
      </c>
    </row>
    <row r="7" spans="1:23" x14ac:dyDescent="0.3">
      <c r="A7" t="s">
        <v>3</v>
      </c>
      <c r="B7">
        <v>1</v>
      </c>
      <c r="C7" t="s">
        <v>209</v>
      </c>
      <c r="D7" t="s">
        <v>216</v>
      </c>
      <c r="E7" t="s">
        <v>577</v>
      </c>
      <c r="F7" t="s">
        <v>938</v>
      </c>
      <c r="G7">
        <v>0</v>
      </c>
      <c r="H7">
        <v>0</v>
      </c>
      <c r="I7">
        <v>1</v>
      </c>
      <c r="J7">
        <v>1</v>
      </c>
      <c r="K7">
        <v>0</v>
      </c>
      <c r="L7">
        <f t="shared" si="0"/>
        <v>1</v>
      </c>
      <c r="M7">
        <f t="shared" si="1"/>
        <v>1</v>
      </c>
      <c r="Q7" s="5" t="s">
        <v>1304</v>
      </c>
      <c r="R7" s="3">
        <f>COUNTIFS(L:L,1, M:M,0)</f>
        <v>5</v>
      </c>
      <c r="S7" s="3">
        <f>COUNTIFS(L:L,0, M:M,0)</f>
        <v>64</v>
      </c>
      <c r="V7" t="s">
        <v>1308</v>
      </c>
      <c r="W7" t="s">
        <v>1309</v>
      </c>
    </row>
    <row r="8" spans="1:23" x14ac:dyDescent="0.3">
      <c r="A8" t="s">
        <v>4</v>
      </c>
      <c r="B8">
        <v>1</v>
      </c>
      <c r="C8" t="s">
        <v>208</v>
      </c>
      <c r="D8" t="s">
        <v>217</v>
      </c>
      <c r="E8" t="s">
        <v>578</v>
      </c>
      <c r="F8" t="s">
        <v>939</v>
      </c>
      <c r="G8">
        <v>4</v>
      </c>
      <c r="H8">
        <v>10</v>
      </c>
      <c r="I8">
        <v>4</v>
      </c>
      <c r="J8">
        <v>7</v>
      </c>
      <c r="K8">
        <v>15</v>
      </c>
      <c r="L8">
        <f t="shared" si="0"/>
        <v>0</v>
      </c>
      <c r="M8">
        <f t="shared" si="1"/>
        <v>0</v>
      </c>
    </row>
    <row r="9" spans="1:23" x14ac:dyDescent="0.3">
      <c r="A9" t="s">
        <v>4</v>
      </c>
      <c r="B9">
        <v>1</v>
      </c>
      <c r="C9" t="s">
        <v>209</v>
      </c>
      <c r="D9" t="s">
        <v>218</v>
      </c>
      <c r="E9" t="s">
        <v>579</v>
      </c>
      <c r="F9" t="s">
        <v>940</v>
      </c>
      <c r="G9">
        <v>2</v>
      </c>
      <c r="H9">
        <v>1</v>
      </c>
      <c r="I9">
        <v>1</v>
      </c>
      <c r="J9">
        <v>2</v>
      </c>
      <c r="K9">
        <v>4</v>
      </c>
      <c r="L9">
        <f t="shared" si="0"/>
        <v>0</v>
      </c>
      <c r="M9">
        <f t="shared" si="1"/>
        <v>0</v>
      </c>
      <c r="Q9" s="2"/>
      <c r="R9" s="2"/>
    </row>
    <row r="10" spans="1:23" x14ac:dyDescent="0.3">
      <c r="A10" t="s">
        <v>5</v>
      </c>
      <c r="B10">
        <v>1</v>
      </c>
      <c r="C10" t="s">
        <v>208</v>
      </c>
      <c r="D10" t="s">
        <v>219</v>
      </c>
      <c r="E10" t="s">
        <v>580</v>
      </c>
      <c r="F10" t="s">
        <v>941</v>
      </c>
      <c r="G10">
        <v>4</v>
      </c>
      <c r="H10">
        <v>9</v>
      </c>
      <c r="I10">
        <v>4</v>
      </c>
      <c r="J10">
        <v>6</v>
      </c>
      <c r="K10">
        <v>13</v>
      </c>
      <c r="L10">
        <f t="shared" si="0"/>
        <v>0</v>
      </c>
      <c r="M10">
        <f t="shared" si="1"/>
        <v>0</v>
      </c>
      <c r="P10" s="1"/>
      <c r="Q10" s="4" t="s">
        <v>1310</v>
      </c>
      <c r="R10" s="3">
        <f>R6/(R6+R7)</f>
        <v>0.98023715415019763</v>
      </c>
    </row>
    <row r="11" spans="1:23" x14ac:dyDescent="0.3">
      <c r="A11" t="s">
        <v>5</v>
      </c>
      <c r="B11">
        <v>1</v>
      </c>
      <c r="C11" t="s">
        <v>209</v>
      </c>
      <c r="D11" t="s">
        <v>220</v>
      </c>
      <c r="E11" t="s">
        <v>581</v>
      </c>
      <c r="F11" t="s">
        <v>942</v>
      </c>
      <c r="G11">
        <v>3</v>
      </c>
      <c r="H11">
        <v>3</v>
      </c>
      <c r="I11">
        <v>3</v>
      </c>
      <c r="J11">
        <v>5</v>
      </c>
      <c r="K11">
        <v>7</v>
      </c>
      <c r="L11">
        <f t="shared" si="0"/>
        <v>0</v>
      </c>
      <c r="M11">
        <f t="shared" si="1"/>
        <v>0</v>
      </c>
      <c r="P11" s="1"/>
      <c r="Q11" s="4" t="s">
        <v>1311</v>
      </c>
      <c r="R11" s="3">
        <f>S7/(S7+S6)</f>
        <v>0.59813084112149528</v>
      </c>
    </row>
    <row r="12" spans="1:23" x14ac:dyDescent="0.3">
      <c r="A12" t="s">
        <v>6</v>
      </c>
      <c r="B12">
        <v>1</v>
      </c>
      <c r="C12" t="s">
        <v>208</v>
      </c>
      <c r="D12" t="s">
        <v>221</v>
      </c>
      <c r="E12" t="s">
        <v>582</v>
      </c>
      <c r="F12" t="s">
        <v>943</v>
      </c>
      <c r="G12">
        <v>4</v>
      </c>
      <c r="H12">
        <v>11</v>
      </c>
      <c r="I12">
        <v>4</v>
      </c>
      <c r="J12">
        <v>7</v>
      </c>
      <c r="K12">
        <v>14</v>
      </c>
      <c r="L12">
        <f t="shared" si="0"/>
        <v>0</v>
      </c>
      <c r="M12">
        <f t="shared" si="1"/>
        <v>0</v>
      </c>
      <c r="P12" s="1"/>
      <c r="Q12" s="4" t="s">
        <v>1312</v>
      </c>
      <c r="R12" s="3">
        <f>R6/(R6+S6)</f>
        <v>0.85223367697594499</v>
      </c>
    </row>
    <row r="13" spans="1:23" x14ac:dyDescent="0.3">
      <c r="A13" t="s">
        <v>6</v>
      </c>
      <c r="B13">
        <v>1</v>
      </c>
      <c r="C13" t="s">
        <v>209</v>
      </c>
      <c r="D13" t="s">
        <v>222</v>
      </c>
      <c r="E13" t="s">
        <v>583</v>
      </c>
      <c r="F13" t="s">
        <v>944</v>
      </c>
      <c r="G13">
        <v>0</v>
      </c>
      <c r="H13">
        <v>0</v>
      </c>
      <c r="I13">
        <v>1</v>
      </c>
      <c r="J13">
        <v>2</v>
      </c>
      <c r="K13">
        <v>2</v>
      </c>
      <c r="L13">
        <f t="shared" si="0"/>
        <v>1</v>
      </c>
      <c r="M13">
        <f t="shared" si="1"/>
        <v>1</v>
      </c>
    </row>
    <row r="14" spans="1:23" x14ac:dyDescent="0.3">
      <c r="A14" t="s">
        <v>7</v>
      </c>
      <c r="B14">
        <v>1</v>
      </c>
      <c r="C14" t="s">
        <v>208</v>
      </c>
      <c r="D14" t="s">
        <v>223</v>
      </c>
      <c r="E14" t="s">
        <v>584</v>
      </c>
      <c r="F14" t="s">
        <v>945</v>
      </c>
      <c r="G14">
        <v>3</v>
      </c>
      <c r="H14">
        <v>9</v>
      </c>
      <c r="I14">
        <v>5</v>
      </c>
      <c r="J14">
        <v>6</v>
      </c>
      <c r="K14">
        <v>13</v>
      </c>
      <c r="L14">
        <f t="shared" si="0"/>
        <v>0</v>
      </c>
      <c r="M14">
        <f t="shared" si="1"/>
        <v>0</v>
      </c>
      <c r="Q14" s="12" t="s">
        <v>1322</v>
      </c>
    </row>
    <row r="15" spans="1:23" x14ac:dyDescent="0.3">
      <c r="A15" t="s">
        <v>7</v>
      </c>
      <c r="B15">
        <v>1</v>
      </c>
      <c r="C15" t="s">
        <v>209</v>
      </c>
      <c r="D15" t="s">
        <v>224</v>
      </c>
      <c r="E15" t="s">
        <v>585</v>
      </c>
      <c r="F15" t="s">
        <v>946</v>
      </c>
      <c r="G15">
        <v>3</v>
      </c>
      <c r="H15">
        <v>10</v>
      </c>
      <c r="I15">
        <v>5</v>
      </c>
      <c r="J15">
        <v>6</v>
      </c>
      <c r="K15">
        <v>13</v>
      </c>
      <c r="L15">
        <f t="shared" si="0"/>
        <v>0</v>
      </c>
      <c r="M15">
        <f t="shared" si="1"/>
        <v>0</v>
      </c>
      <c r="Q15" s="4" t="s">
        <v>1319</v>
      </c>
      <c r="R15" s="17">
        <f>(S6/(SUM(R$6+S$6+R$7+S$7)))*100</f>
        <v>11.944444444444445</v>
      </c>
    </row>
    <row r="16" spans="1:23" x14ac:dyDescent="0.3">
      <c r="A16" t="s">
        <v>8</v>
      </c>
      <c r="B16">
        <v>1</v>
      </c>
      <c r="C16" t="s">
        <v>208</v>
      </c>
      <c r="D16" t="s">
        <v>225</v>
      </c>
      <c r="E16" t="s">
        <v>586</v>
      </c>
      <c r="F16" t="s">
        <v>947</v>
      </c>
      <c r="G16">
        <v>0</v>
      </c>
      <c r="H16">
        <v>0</v>
      </c>
      <c r="I16">
        <v>1</v>
      </c>
      <c r="J16">
        <v>1</v>
      </c>
      <c r="K16">
        <v>0</v>
      </c>
      <c r="L16">
        <f t="shared" si="0"/>
        <v>1</v>
      </c>
      <c r="M16">
        <f t="shared" si="1"/>
        <v>1</v>
      </c>
      <c r="Q16" s="4" t="s">
        <v>1321</v>
      </c>
      <c r="R16" s="17">
        <f>(R7/(SUM(R$6+S$6+R$7+S$7)))*100</f>
        <v>1.3888888888888888</v>
      </c>
    </row>
    <row r="17" spans="1:13" x14ac:dyDescent="0.3">
      <c r="A17" t="s">
        <v>8</v>
      </c>
      <c r="B17">
        <v>1</v>
      </c>
      <c r="C17" t="s">
        <v>209</v>
      </c>
      <c r="D17" t="s">
        <v>226</v>
      </c>
      <c r="E17" t="s">
        <v>587</v>
      </c>
      <c r="F17" t="s">
        <v>948</v>
      </c>
      <c r="G17">
        <v>0</v>
      </c>
      <c r="H17">
        <v>0</v>
      </c>
      <c r="I17">
        <v>1</v>
      </c>
      <c r="J17">
        <v>1</v>
      </c>
      <c r="K17">
        <v>0</v>
      </c>
      <c r="L17">
        <f t="shared" si="0"/>
        <v>1</v>
      </c>
      <c r="M17">
        <f t="shared" si="1"/>
        <v>1</v>
      </c>
    </row>
    <row r="18" spans="1:13" x14ac:dyDescent="0.3">
      <c r="A18" t="s">
        <v>9</v>
      </c>
      <c r="B18">
        <v>1</v>
      </c>
      <c r="C18" t="s">
        <v>208</v>
      </c>
      <c r="D18" t="s">
        <v>227</v>
      </c>
      <c r="E18" t="s">
        <v>588</v>
      </c>
      <c r="F18" t="s">
        <v>949</v>
      </c>
      <c r="G18">
        <v>0</v>
      </c>
      <c r="H18">
        <v>0</v>
      </c>
      <c r="I18">
        <v>1</v>
      </c>
      <c r="J18">
        <v>1</v>
      </c>
      <c r="K18">
        <v>0</v>
      </c>
      <c r="L18">
        <f t="shared" si="0"/>
        <v>1</v>
      </c>
      <c r="M18">
        <f t="shared" si="1"/>
        <v>1</v>
      </c>
    </row>
    <row r="19" spans="1:13" x14ac:dyDescent="0.3">
      <c r="A19" t="s">
        <v>9</v>
      </c>
      <c r="B19">
        <v>1</v>
      </c>
      <c r="C19" t="s">
        <v>209</v>
      </c>
      <c r="D19" t="s">
        <v>228</v>
      </c>
      <c r="E19" t="s">
        <v>589</v>
      </c>
      <c r="F19" t="s">
        <v>950</v>
      </c>
      <c r="G19">
        <v>2</v>
      </c>
      <c r="H19">
        <v>3</v>
      </c>
      <c r="I19">
        <v>3</v>
      </c>
      <c r="J19">
        <v>1</v>
      </c>
      <c r="K19">
        <v>5</v>
      </c>
      <c r="L19">
        <f t="shared" si="0"/>
        <v>0</v>
      </c>
      <c r="M19">
        <f t="shared" si="1"/>
        <v>0</v>
      </c>
    </row>
    <row r="20" spans="1:13" x14ac:dyDescent="0.3">
      <c r="A20" t="s">
        <v>10</v>
      </c>
      <c r="B20">
        <v>1</v>
      </c>
      <c r="C20" t="s">
        <v>208</v>
      </c>
      <c r="D20" t="s">
        <v>229</v>
      </c>
      <c r="E20" t="s">
        <v>590</v>
      </c>
      <c r="F20" t="s">
        <v>951</v>
      </c>
      <c r="G20">
        <v>0</v>
      </c>
      <c r="H20">
        <v>0</v>
      </c>
      <c r="I20">
        <v>1</v>
      </c>
      <c r="J20">
        <v>0</v>
      </c>
      <c r="K20">
        <v>0</v>
      </c>
      <c r="L20">
        <f t="shared" si="0"/>
        <v>1</v>
      </c>
      <c r="M20">
        <f t="shared" si="1"/>
        <v>1</v>
      </c>
    </row>
    <row r="21" spans="1:13" x14ac:dyDescent="0.3">
      <c r="A21" t="s">
        <v>10</v>
      </c>
      <c r="B21">
        <v>1</v>
      </c>
      <c r="C21" t="s">
        <v>209</v>
      </c>
      <c r="D21" t="s">
        <v>230</v>
      </c>
      <c r="E21" t="s">
        <v>591</v>
      </c>
      <c r="F21" t="s">
        <v>952</v>
      </c>
      <c r="G21">
        <v>0</v>
      </c>
      <c r="H21">
        <v>0</v>
      </c>
      <c r="I21">
        <v>1</v>
      </c>
      <c r="J21">
        <v>0</v>
      </c>
      <c r="K21">
        <v>0</v>
      </c>
      <c r="L21">
        <f t="shared" si="0"/>
        <v>1</v>
      </c>
      <c r="M21">
        <f t="shared" si="1"/>
        <v>1</v>
      </c>
    </row>
    <row r="22" spans="1:13" x14ac:dyDescent="0.3">
      <c r="A22" t="s">
        <v>11</v>
      </c>
      <c r="B22">
        <v>1</v>
      </c>
      <c r="C22" t="s">
        <v>208</v>
      </c>
      <c r="D22" t="s">
        <v>231</v>
      </c>
      <c r="E22" t="s">
        <v>592</v>
      </c>
      <c r="F22" t="s">
        <v>953</v>
      </c>
      <c r="G22">
        <v>4</v>
      </c>
      <c r="H22">
        <v>5</v>
      </c>
      <c r="I22">
        <v>4</v>
      </c>
      <c r="J22">
        <v>4</v>
      </c>
      <c r="K22">
        <v>10</v>
      </c>
      <c r="L22">
        <f t="shared" si="0"/>
        <v>0</v>
      </c>
      <c r="M22">
        <f t="shared" si="1"/>
        <v>0</v>
      </c>
    </row>
    <row r="23" spans="1:13" x14ac:dyDescent="0.3">
      <c r="A23" t="s">
        <v>11</v>
      </c>
      <c r="B23">
        <v>1</v>
      </c>
      <c r="C23" t="s">
        <v>209</v>
      </c>
      <c r="D23" t="s">
        <v>232</v>
      </c>
      <c r="E23" t="s">
        <v>593</v>
      </c>
      <c r="F23" t="s">
        <v>954</v>
      </c>
      <c r="G23">
        <v>4</v>
      </c>
      <c r="H23">
        <v>7</v>
      </c>
      <c r="I23">
        <v>4</v>
      </c>
      <c r="J23">
        <v>4</v>
      </c>
      <c r="K23">
        <v>6</v>
      </c>
      <c r="L23">
        <f t="shared" si="0"/>
        <v>0</v>
      </c>
      <c r="M23">
        <f t="shared" si="1"/>
        <v>0</v>
      </c>
    </row>
    <row r="24" spans="1:13" x14ac:dyDescent="0.3">
      <c r="A24" t="s">
        <v>12</v>
      </c>
      <c r="B24">
        <v>1</v>
      </c>
      <c r="C24" t="s">
        <v>209</v>
      </c>
      <c r="D24" t="s">
        <v>233</v>
      </c>
      <c r="E24" t="s">
        <v>594</v>
      </c>
      <c r="F24" t="s">
        <v>955</v>
      </c>
      <c r="G24">
        <v>0</v>
      </c>
      <c r="H24">
        <v>0</v>
      </c>
      <c r="I24">
        <v>1</v>
      </c>
      <c r="J24">
        <v>0</v>
      </c>
      <c r="K24">
        <v>0</v>
      </c>
      <c r="L24">
        <f t="shared" si="0"/>
        <v>1</v>
      </c>
      <c r="M24">
        <f t="shared" si="1"/>
        <v>1</v>
      </c>
    </row>
    <row r="25" spans="1:13" x14ac:dyDescent="0.3">
      <c r="A25" t="s">
        <v>13</v>
      </c>
      <c r="B25">
        <v>1</v>
      </c>
      <c r="C25" t="s">
        <v>209</v>
      </c>
      <c r="D25" t="s">
        <v>234</v>
      </c>
      <c r="E25" t="s">
        <v>595</v>
      </c>
      <c r="F25" t="s">
        <v>956</v>
      </c>
      <c r="G25">
        <v>4</v>
      </c>
      <c r="H25">
        <v>8</v>
      </c>
      <c r="I25">
        <v>4</v>
      </c>
      <c r="J25">
        <v>5</v>
      </c>
      <c r="K25">
        <v>11</v>
      </c>
      <c r="L25">
        <f t="shared" si="0"/>
        <v>0</v>
      </c>
      <c r="M25">
        <f t="shared" si="1"/>
        <v>0</v>
      </c>
    </row>
    <row r="26" spans="1:13" x14ac:dyDescent="0.3">
      <c r="A26" t="s">
        <v>14</v>
      </c>
      <c r="B26">
        <v>1</v>
      </c>
      <c r="C26" t="s">
        <v>209</v>
      </c>
      <c r="D26" t="s">
        <v>235</v>
      </c>
      <c r="E26" t="s">
        <v>596</v>
      </c>
      <c r="F26" t="s">
        <v>957</v>
      </c>
      <c r="G26">
        <v>2</v>
      </c>
      <c r="H26">
        <v>2</v>
      </c>
      <c r="I26">
        <v>2</v>
      </c>
      <c r="J26">
        <v>1</v>
      </c>
      <c r="K26">
        <v>0</v>
      </c>
      <c r="L26">
        <f t="shared" si="0"/>
        <v>0</v>
      </c>
      <c r="M26">
        <f t="shared" si="1"/>
        <v>1</v>
      </c>
    </row>
    <row r="27" spans="1:13" x14ac:dyDescent="0.3">
      <c r="A27" t="s">
        <v>15</v>
      </c>
      <c r="B27">
        <v>1</v>
      </c>
      <c r="C27" t="s">
        <v>209</v>
      </c>
      <c r="D27" t="s">
        <v>236</v>
      </c>
      <c r="E27" t="s">
        <v>597</v>
      </c>
      <c r="F27" t="s">
        <v>958</v>
      </c>
      <c r="G27">
        <v>0</v>
      </c>
      <c r="H27">
        <v>0</v>
      </c>
      <c r="I27">
        <v>1</v>
      </c>
      <c r="J27">
        <v>1</v>
      </c>
      <c r="K27">
        <v>0</v>
      </c>
      <c r="L27">
        <f t="shared" si="0"/>
        <v>1</v>
      </c>
      <c r="M27">
        <f t="shared" si="1"/>
        <v>1</v>
      </c>
    </row>
    <row r="28" spans="1:13" x14ac:dyDescent="0.3">
      <c r="A28" t="s">
        <v>16</v>
      </c>
      <c r="B28">
        <v>1</v>
      </c>
      <c r="C28" t="s">
        <v>209</v>
      </c>
      <c r="D28" t="s">
        <v>237</v>
      </c>
      <c r="E28" t="s">
        <v>598</v>
      </c>
      <c r="F28" t="s">
        <v>959</v>
      </c>
      <c r="G28">
        <v>0</v>
      </c>
      <c r="H28">
        <v>0</v>
      </c>
      <c r="I28">
        <v>1</v>
      </c>
      <c r="J28">
        <v>1</v>
      </c>
      <c r="K28">
        <v>0</v>
      </c>
      <c r="L28">
        <f t="shared" si="0"/>
        <v>1</v>
      </c>
      <c r="M28">
        <f t="shared" si="1"/>
        <v>1</v>
      </c>
    </row>
    <row r="29" spans="1:13" x14ac:dyDescent="0.3">
      <c r="A29" t="s">
        <v>17</v>
      </c>
      <c r="B29">
        <v>1</v>
      </c>
      <c r="C29" t="s">
        <v>208</v>
      </c>
      <c r="D29" t="s">
        <v>238</v>
      </c>
      <c r="E29" t="s">
        <v>599</v>
      </c>
      <c r="F29" t="s">
        <v>960</v>
      </c>
      <c r="G29">
        <v>0</v>
      </c>
      <c r="H29">
        <v>0</v>
      </c>
      <c r="I29">
        <v>1</v>
      </c>
      <c r="J29">
        <v>1</v>
      </c>
      <c r="K29">
        <v>0</v>
      </c>
      <c r="L29">
        <f t="shared" si="0"/>
        <v>1</v>
      </c>
      <c r="M29">
        <f t="shared" si="1"/>
        <v>1</v>
      </c>
    </row>
    <row r="30" spans="1:13" x14ac:dyDescent="0.3">
      <c r="A30" t="s">
        <v>17</v>
      </c>
      <c r="B30">
        <v>1</v>
      </c>
      <c r="C30" t="s">
        <v>209</v>
      </c>
      <c r="D30" t="s">
        <v>239</v>
      </c>
      <c r="E30" t="s">
        <v>600</v>
      </c>
      <c r="F30" t="s">
        <v>961</v>
      </c>
      <c r="G30">
        <v>0</v>
      </c>
      <c r="H30">
        <v>0</v>
      </c>
      <c r="I30">
        <v>1</v>
      </c>
      <c r="J30">
        <v>1</v>
      </c>
      <c r="K30">
        <v>1</v>
      </c>
      <c r="L30">
        <f t="shared" si="0"/>
        <v>1</v>
      </c>
      <c r="M30">
        <f t="shared" si="1"/>
        <v>1</v>
      </c>
    </row>
    <row r="31" spans="1:13" x14ac:dyDescent="0.3">
      <c r="A31" t="s">
        <v>18</v>
      </c>
      <c r="B31">
        <v>1</v>
      </c>
      <c r="C31" t="s">
        <v>208</v>
      </c>
      <c r="D31" t="s">
        <v>240</v>
      </c>
      <c r="E31" t="s">
        <v>601</v>
      </c>
      <c r="F31" t="s">
        <v>962</v>
      </c>
      <c r="G31">
        <v>0</v>
      </c>
      <c r="H31">
        <v>0</v>
      </c>
      <c r="I31">
        <v>1</v>
      </c>
      <c r="J31">
        <v>4</v>
      </c>
      <c r="K31">
        <v>8</v>
      </c>
      <c r="L31">
        <f t="shared" si="0"/>
        <v>1</v>
      </c>
      <c r="M31">
        <f t="shared" si="1"/>
        <v>0</v>
      </c>
    </row>
    <row r="32" spans="1:13" x14ac:dyDescent="0.3">
      <c r="A32" t="s">
        <v>18</v>
      </c>
      <c r="B32">
        <v>1</v>
      </c>
      <c r="C32" t="s">
        <v>209</v>
      </c>
      <c r="D32" t="s">
        <v>241</v>
      </c>
      <c r="E32" t="s">
        <v>602</v>
      </c>
      <c r="F32" t="s">
        <v>963</v>
      </c>
      <c r="G32">
        <v>2</v>
      </c>
      <c r="H32">
        <v>4</v>
      </c>
      <c r="I32">
        <v>3</v>
      </c>
      <c r="J32">
        <v>4</v>
      </c>
      <c r="K32">
        <v>8</v>
      </c>
      <c r="L32">
        <f t="shared" si="0"/>
        <v>0</v>
      </c>
      <c r="M32">
        <f t="shared" si="1"/>
        <v>0</v>
      </c>
    </row>
    <row r="33" spans="1:22" x14ac:dyDescent="0.3">
      <c r="A33" t="s">
        <v>19</v>
      </c>
      <c r="B33">
        <v>1</v>
      </c>
      <c r="C33" t="s">
        <v>208</v>
      </c>
      <c r="D33" t="s">
        <v>242</v>
      </c>
      <c r="E33" t="s">
        <v>603</v>
      </c>
      <c r="F33" t="s">
        <v>964</v>
      </c>
      <c r="G33">
        <v>2</v>
      </c>
      <c r="H33">
        <v>1</v>
      </c>
      <c r="I33">
        <v>1</v>
      </c>
      <c r="J33">
        <v>1</v>
      </c>
      <c r="K33">
        <v>1</v>
      </c>
      <c r="L33">
        <f t="shared" si="0"/>
        <v>0</v>
      </c>
      <c r="M33">
        <f t="shared" si="1"/>
        <v>1</v>
      </c>
    </row>
    <row r="34" spans="1:22" x14ac:dyDescent="0.3">
      <c r="A34" t="s">
        <v>19</v>
      </c>
      <c r="B34">
        <v>1</v>
      </c>
      <c r="C34" t="s">
        <v>209</v>
      </c>
      <c r="D34" t="s">
        <v>243</v>
      </c>
      <c r="E34" t="s">
        <v>604</v>
      </c>
      <c r="F34" t="s">
        <v>965</v>
      </c>
      <c r="G34">
        <v>0</v>
      </c>
      <c r="H34">
        <v>1</v>
      </c>
      <c r="I34">
        <v>1</v>
      </c>
      <c r="J34">
        <v>0</v>
      </c>
      <c r="K34">
        <v>0</v>
      </c>
      <c r="L34">
        <f t="shared" si="0"/>
        <v>1</v>
      </c>
      <c r="M34">
        <f t="shared" si="1"/>
        <v>1</v>
      </c>
    </row>
    <row r="35" spans="1:22" x14ac:dyDescent="0.3">
      <c r="A35" t="s">
        <v>20</v>
      </c>
      <c r="B35">
        <v>1</v>
      </c>
      <c r="C35" t="s">
        <v>208</v>
      </c>
      <c r="D35" t="s">
        <v>244</v>
      </c>
      <c r="E35" t="s">
        <v>605</v>
      </c>
      <c r="F35" t="s">
        <v>966</v>
      </c>
      <c r="G35">
        <v>4</v>
      </c>
      <c r="H35">
        <v>8</v>
      </c>
      <c r="I35">
        <v>4</v>
      </c>
      <c r="J35">
        <v>4</v>
      </c>
      <c r="K35">
        <v>11</v>
      </c>
      <c r="L35">
        <f t="shared" si="0"/>
        <v>0</v>
      </c>
      <c r="M35">
        <f t="shared" si="1"/>
        <v>0</v>
      </c>
    </row>
    <row r="36" spans="1:22" x14ac:dyDescent="0.3">
      <c r="A36" t="s">
        <v>20</v>
      </c>
      <c r="B36">
        <v>1</v>
      </c>
      <c r="C36" t="s">
        <v>209</v>
      </c>
      <c r="D36" t="s">
        <v>245</v>
      </c>
      <c r="E36" t="s">
        <v>606</v>
      </c>
      <c r="F36" t="s">
        <v>967</v>
      </c>
      <c r="G36">
        <v>4</v>
      </c>
      <c r="H36">
        <v>8</v>
      </c>
      <c r="I36">
        <v>4</v>
      </c>
      <c r="J36">
        <v>2</v>
      </c>
      <c r="K36">
        <v>3</v>
      </c>
      <c r="L36">
        <f t="shared" si="0"/>
        <v>0</v>
      </c>
      <c r="M36">
        <f t="shared" si="1"/>
        <v>1</v>
      </c>
    </row>
    <row r="37" spans="1:22" x14ac:dyDescent="0.3">
      <c r="A37" t="s">
        <v>21</v>
      </c>
      <c r="B37">
        <v>1</v>
      </c>
      <c r="C37" t="s">
        <v>208</v>
      </c>
      <c r="D37" t="s">
        <v>246</v>
      </c>
      <c r="E37" t="s">
        <v>607</v>
      </c>
      <c r="F37" t="s">
        <v>968</v>
      </c>
      <c r="G37">
        <v>3</v>
      </c>
      <c r="H37">
        <v>4</v>
      </c>
      <c r="I37">
        <v>4</v>
      </c>
      <c r="J37">
        <v>6</v>
      </c>
      <c r="K37">
        <v>13</v>
      </c>
      <c r="L37">
        <f t="shared" si="0"/>
        <v>0</v>
      </c>
      <c r="M37">
        <f t="shared" si="1"/>
        <v>0</v>
      </c>
    </row>
    <row r="38" spans="1:22" x14ac:dyDescent="0.3">
      <c r="A38" t="s">
        <v>21</v>
      </c>
      <c r="B38">
        <v>1</v>
      </c>
      <c r="C38" t="s">
        <v>209</v>
      </c>
      <c r="D38" t="s">
        <v>247</v>
      </c>
      <c r="E38" t="s">
        <v>608</v>
      </c>
      <c r="F38" t="s">
        <v>969</v>
      </c>
      <c r="G38">
        <v>3</v>
      </c>
      <c r="H38">
        <v>4</v>
      </c>
      <c r="I38">
        <v>3</v>
      </c>
      <c r="J38">
        <v>6</v>
      </c>
      <c r="K38">
        <v>13</v>
      </c>
      <c r="L38">
        <f t="shared" si="0"/>
        <v>0</v>
      </c>
      <c r="M38">
        <f t="shared" si="1"/>
        <v>0</v>
      </c>
    </row>
    <row r="39" spans="1:22" x14ac:dyDescent="0.3">
      <c r="A39" t="s">
        <v>22</v>
      </c>
      <c r="B39">
        <v>1</v>
      </c>
      <c r="C39" t="s">
        <v>209</v>
      </c>
      <c r="D39" t="s">
        <v>248</v>
      </c>
      <c r="E39" t="s">
        <v>609</v>
      </c>
      <c r="F39" t="s">
        <v>970</v>
      </c>
      <c r="G39">
        <v>4</v>
      </c>
      <c r="H39">
        <v>6</v>
      </c>
      <c r="I39">
        <v>4</v>
      </c>
      <c r="J39">
        <v>2</v>
      </c>
      <c r="K39">
        <v>5</v>
      </c>
      <c r="L39">
        <f t="shared" si="0"/>
        <v>0</v>
      </c>
      <c r="M39">
        <f t="shared" si="1"/>
        <v>0</v>
      </c>
    </row>
    <row r="40" spans="1:22" x14ac:dyDescent="0.3">
      <c r="A40" t="s">
        <v>23</v>
      </c>
      <c r="B40">
        <v>1</v>
      </c>
      <c r="C40" t="s">
        <v>208</v>
      </c>
      <c r="D40" t="s">
        <v>249</v>
      </c>
      <c r="E40" t="s">
        <v>610</v>
      </c>
      <c r="F40" t="s">
        <v>971</v>
      </c>
      <c r="G40">
        <v>0</v>
      </c>
      <c r="H40">
        <v>0</v>
      </c>
      <c r="I40">
        <v>1</v>
      </c>
      <c r="J40">
        <v>0</v>
      </c>
      <c r="K40">
        <v>0</v>
      </c>
      <c r="L40">
        <f t="shared" si="0"/>
        <v>1</v>
      </c>
      <c r="M40">
        <f t="shared" si="1"/>
        <v>1</v>
      </c>
    </row>
    <row r="41" spans="1:22" x14ac:dyDescent="0.3">
      <c r="A41" t="s">
        <v>23</v>
      </c>
      <c r="B41">
        <v>1</v>
      </c>
      <c r="C41" t="s">
        <v>209</v>
      </c>
      <c r="D41" t="s">
        <v>250</v>
      </c>
      <c r="E41" t="s">
        <v>611</v>
      </c>
      <c r="F41" t="s">
        <v>972</v>
      </c>
      <c r="G41">
        <v>0</v>
      </c>
      <c r="H41">
        <v>0</v>
      </c>
      <c r="I41">
        <v>1</v>
      </c>
      <c r="J41">
        <v>0</v>
      </c>
      <c r="K41">
        <v>0</v>
      </c>
      <c r="L41">
        <f t="shared" si="0"/>
        <v>1</v>
      </c>
      <c r="M41">
        <f t="shared" si="1"/>
        <v>1</v>
      </c>
    </row>
    <row r="42" spans="1:22" x14ac:dyDescent="0.3">
      <c r="A42" t="s">
        <v>24</v>
      </c>
      <c r="B42">
        <v>1</v>
      </c>
      <c r="C42" t="s">
        <v>208</v>
      </c>
      <c r="D42" t="s">
        <v>251</v>
      </c>
      <c r="E42" t="s">
        <v>612</v>
      </c>
      <c r="F42" t="s">
        <v>973</v>
      </c>
      <c r="G42">
        <v>0</v>
      </c>
      <c r="H42">
        <v>0</v>
      </c>
      <c r="I42">
        <v>1</v>
      </c>
      <c r="J42">
        <v>0</v>
      </c>
      <c r="K42">
        <v>0</v>
      </c>
      <c r="L42">
        <f t="shared" si="0"/>
        <v>1</v>
      </c>
      <c r="M42">
        <f t="shared" si="1"/>
        <v>1</v>
      </c>
    </row>
    <row r="43" spans="1:22" x14ac:dyDescent="0.3">
      <c r="A43" t="s">
        <v>24</v>
      </c>
      <c r="B43">
        <v>1</v>
      </c>
      <c r="C43" t="s">
        <v>209</v>
      </c>
      <c r="D43" t="s">
        <v>252</v>
      </c>
      <c r="E43" t="s">
        <v>613</v>
      </c>
      <c r="F43" t="s">
        <v>974</v>
      </c>
      <c r="G43">
        <v>0</v>
      </c>
      <c r="H43">
        <v>0</v>
      </c>
      <c r="I43">
        <v>1</v>
      </c>
      <c r="J43">
        <v>0</v>
      </c>
      <c r="K43">
        <v>0</v>
      </c>
      <c r="L43">
        <f t="shared" si="0"/>
        <v>1</v>
      </c>
      <c r="M43">
        <f t="shared" si="1"/>
        <v>1</v>
      </c>
    </row>
    <row r="44" spans="1:22" x14ac:dyDescent="0.3">
      <c r="A44" t="s">
        <v>25</v>
      </c>
      <c r="B44">
        <v>1</v>
      </c>
      <c r="C44" t="s">
        <v>208</v>
      </c>
      <c r="D44" t="s">
        <v>253</v>
      </c>
      <c r="E44" t="s">
        <v>614</v>
      </c>
      <c r="F44" t="s">
        <v>975</v>
      </c>
      <c r="G44">
        <v>0</v>
      </c>
      <c r="H44">
        <v>0</v>
      </c>
      <c r="I44">
        <v>1</v>
      </c>
      <c r="J44">
        <v>0</v>
      </c>
      <c r="K44">
        <v>0</v>
      </c>
      <c r="L44">
        <f t="shared" si="0"/>
        <v>1</v>
      </c>
      <c r="M44">
        <f t="shared" si="1"/>
        <v>1</v>
      </c>
    </row>
    <row r="45" spans="1:22" x14ac:dyDescent="0.3">
      <c r="A45" t="s">
        <v>25</v>
      </c>
      <c r="B45">
        <v>1</v>
      </c>
      <c r="C45" t="s">
        <v>209</v>
      </c>
      <c r="D45" t="s">
        <v>254</v>
      </c>
      <c r="E45" t="s">
        <v>615</v>
      </c>
      <c r="F45" t="s">
        <v>976</v>
      </c>
      <c r="G45">
        <v>0</v>
      </c>
      <c r="H45">
        <v>0</v>
      </c>
      <c r="I45">
        <v>1</v>
      </c>
      <c r="J45">
        <v>0</v>
      </c>
      <c r="K45">
        <v>0</v>
      </c>
      <c r="L45">
        <f t="shared" si="0"/>
        <v>1</v>
      </c>
      <c r="M45">
        <f t="shared" si="1"/>
        <v>1</v>
      </c>
    </row>
    <row r="46" spans="1:22" x14ac:dyDescent="0.3">
      <c r="A46" t="s">
        <v>26</v>
      </c>
      <c r="B46">
        <v>1</v>
      </c>
      <c r="C46" t="s">
        <v>208</v>
      </c>
      <c r="D46" t="s">
        <v>255</v>
      </c>
      <c r="E46" t="s">
        <v>616</v>
      </c>
      <c r="F46" t="s">
        <v>977</v>
      </c>
      <c r="G46">
        <v>2</v>
      </c>
      <c r="H46">
        <v>3</v>
      </c>
      <c r="I46">
        <v>3</v>
      </c>
      <c r="J46">
        <v>0</v>
      </c>
      <c r="K46">
        <v>0</v>
      </c>
      <c r="L46">
        <f t="shared" si="0"/>
        <v>0</v>
      </c>
      <c r="M46">
        <f t="shared" si="1"/>
        <v>1</v>
      </c>
    </row>
    <row r="47" spans="1:22" x14ac:dyDescent="0.3">
      <c r="A47" t="s">
        <v>26</v>
      </c>
      <c r="B47">
        <v>1</v>
      </c>
      <c r="C47" t="s">
        <v>209</v>
      </c>
      <c r="D47" t="s">
        <v>256</v>
      </c>
      <c r="E47" t="s">
        <v>617</v>
      </c>
      <c r="F47" t="s">
        <v>978</v>
      </c>
      <c r="G47">
        <v>0</v>
      </c>
      <c r="H47">
        <v>0</v>
      </c>
      <c r="I47">
        <v>1</v>
      </c>
      <c r="J47">
        <v>0</v>
      </c>
      <c r="K47">
        <v>0</v>
      </c>
      <c r="L47">
        <f t="shared" si="0"/>
        <v>1</v>
      </c>
      <c r="M47">
        <f t="shared" si="1"/>
        <v>1</v>
      </c>
      <c r="Q47">
        <v>4</v>
      </c>
      <c r="R47">
        <v>0</v>
      </c>
      <c r="U47">
        <v>0</v>
      </c>
      <c r="V47">
        <v>0</v>
      </c>
    </row>
    <row r="48" spans="1:22" x14ac:dyDescent="0.3">
      <c r="A48" t="s">
        <v>27</v>
      </c>
      <c r="B48">
        <v>1</v>
      </c>
      <c r="C48" t="s">
        <v>208</v>
      </c>
      <c r="D48" t="s">
        <v>257</v>
      </c>
      <c r="E48" t="s">
        <v>618</v>
      </c>
      <c r="F48" t="s">
        <v>979</v>
      </c>
      <c r="G48">
        <v>0</v>
      </c>
      <c r="H48">
        <v>0</v>
      </c>
      <c r="I48">
        <v>1</v>
      </c>
      <c r="J48">
        <v>0</v>
      </c>
      <c r="K48">
        <v>0</v>
      </c>
      <c r="L48">
        <f t="shared" si="0"/>
        <v>1</v>
      </c>
      <c r="M48">
        <f t="shared" si="1"/>
        <v>1</v>
      </c>
      <c r="Q48">
        <v>4</v>
      </c>
      <c r="R48">
        <v>4</v>
      </c>
      <c r="U48">
        <v>15</v>
      </c>
      <c r="V48">
        <v>0</v>
      </c>
    </row>
    <row r="49" spans="1:13" x14ac:dyDescent="0.3">
      <c r="A49" t="s">
        <v>27</v>
      </c>
      <c r="B49">
        <v>1</v>
      </c>
      <c r="C49" t="s">
        <v>209</v>
      </c>
      <c r="D49" t="s">
        <v>258</v>
      </c>
      <c r="E49" t="s">
        <v>619</v>
      </c>
      <c r="F49" t="s">
        <v>980</v>
      </c>
      <c r="G49">
        <v>0</v>
      </c>
      <c r="H49">
        <v>0</v>
      </c>
      <c r="I49">
        <v>1</v>
      </c>
      <c r="J49">
        <v>0</v>
      </c>
      <c r="K49">
        <v>0</v>
      </c>
      <c r="L49">
        <f t="shared" si="0"/>
        <v>1</v>
      </c>
      <c r="M49">
        <f t="shared" si="1"/>
        <v>1</v>
      </c>
    </row>
    <row r="50" spans="1:13" x14ac:dyDescent="0.3">
      <c r="A50" t="s">
        <v>28</v>
      </c>
      <c r="B50">
        <v>1</v>
      </c>
      <c r="C50" t="s">
        <v>208</v>
      </c>
      <c r="D50" t="s">
        <v>259</v>
      </c>
      <c r="E50" t="s">
        <v>620</v>
      </c>
      <c r="F50" t="s">
        <v>981</v>
      </c>
      <c r="G50">
        <v>0</v>
      </c>
      <c r="H50">
        <v>0</v>
      </c>
      <c r="I50">
        <v>1</v>
      </c>
      <c r="J50">
        <v>0</v>
      </c>
      <c r="K50">
        <v>0</v>
      </c>
      <c r="L50">
        <f t="shared" si="0"/>
        <v>1</v>
      </c>
      <c r="M50">
        <f t="shared" si="1"/>
        <v>1</v>
      </c>
    </row>
    <row r="51" spans="1:13" x14ac:dyDescent="0.3">
      <c r="A51" t="s">
        <v>28</v>
      </c>
      <c r="B51">
        <v>1</v>
      </c>
      <c r="C51" t="s">
        <v>209</v>
      </c>
      <c r="D51" t="s">
        <v>260</v>
      </c>
      <c r="E51" t="s">
        <v>621</v>
      </c>
      <c r="F51" t="s">
        <v>982</v>
      </c>
      <c r="G51">
        <v>0</v>
      </c>
      <c r="H51">
        <v>0</v>
      </c>
      <c r="I51">
        <v>1</v>
      </c>
      <c r="J51">
        <v>0</v>
      </c>
      <c r="K51">
        <v>0</v>
      </c>
      <c r="L51">
        <f t="shared" si="0"/>
        <v>1</v>
      </c>
      <c r="M51">
        <f t="shared" si="1"/>
        <v>1</v>
      </c>
    </row>
    <row r="52" spans="1:13" x14ac:dyDescent="0.3">
      <c r="A52" t="s">
        <v>29</v>
      </c>
      <c r="B52">
        <v>1</v>
      </c>
      <c r="C52" t="s">
        <v>208</v>
      </c>
      <c r="D52" t="s">
        <v>261</v>
      </c>
      <c r="E52" t="s">
        <v>622</v>
      </c>
      <c r="F52" t="s">
        <v>983</v>
      </c>
      <c r="G52">
        <v>3</v>
      </c>
      <c r="H52">
        <v>5</v>
      </c>
      <c r="I52">
        <v>3</v>
      </c>
      <c r="J52">
        <v>4</v>
      </c>
      <c r="K52">
        <v>12</v>
      </c>
      <c r="L52">
        <f t="shared" si="0"/>
        <v>0</v>
      </c>
      <c r="M52">
        <f t="shared" si="1"/>
        <v>0</v>
      </c>
    </row>
    <row r="53" spans="1:13" x14ac:dyDescent="0.3">
      <c r="A53" t="s">
        <v>30</v>
      </c>
      <c r="B53">
        <v>1</v>
      </c>
      <c r="C53" t="s">
        <v>208</v>
      </c>
      <c r="D53" t="s">
        <v>262</v>
      </c>
      <c r="E53" t="s">
        <v>623</v>
      </c>
      <c r="F53" t="s">
        <v>984</v>
      </c>
      <c r="G53">
        <v>0</v>
      </c>
      <c r="H53">
        <v>1</v>
      </c>
      <c r="I53">
        <v>1</v>
      </c>
      <c r="J53">
        <v>1</v>
      </c>
      <c r="K53">
        <v>0</v>
      </c>
      <c r="L53">
        <f t="shared" si="0"/>
        <v>1</v>
      </c>
      <c r="M53">
        <f t="shared" si="1"/>
        <v>1</v>
      </c>
    </row>
    <row r="54" spans="1:13" x14ac:dyDescent="0.3">
      <c r="A54" t="s">
        <v>31</v>
      </c>
      <c r="B54">
        <v>1</v>
      </c>
      <c r="C54" t="s">
        <v>208</v>
      </c>
      <c r="D54" t="s">
        <v>263</v>
      </c>
      <c r="E54" t="s">
        <v>624</v>
      </c>
      <c r="F54" t="s">
        <v>985</v>
      </c>
      <c r="G54">
        <v>0</v>
      </c>
      <c r="H54">
        <v>1</v>
      </c>
      <c r="I54">
        <v>1</v>
      </c>
      <c r="J54">
        <v>0</v>
      </c>
      <c r="K54">
        <v>1</v>
      </c>
      <c r="L54">
        <f t="shared" si="0"/>
        <v>1</v>
      </c>
      <c r="M54">
        <f t="shared" si="1"/>
        <v>1</v>
      </c>
    </row>
    <row r="55" spans="1:13" x14ac:dyDescent="0.3">
      <c r="A55" t="s">
        <v>32</v>
      </c>
      <c r="B55">
        <v>1</v>
      </c>
      <c r="C55" t="s">
        <v>208</v>
      </c>
      <c r="D55" t="s">
        <v>264</v>
      </c>
      <c r="E55" t="s">
        <v>625</v>
      </c>
      <c r="F55" t="s">
        <v>986</v>
      </c>
      <c r="G55">
        <v>0</v>
      </c>
      <c r="H55">
        <v>0</v>
      </c>
      <c r="I55">
        <v>1</v>
      </c>
      <c r="J55">
        <v>0</v>
      </c>
      <c r="K55">
        <v>0</v>
      </c>
      <c r="L55">
        <f t="shared" si="0"/>
        <v>1</v>
      </c>
      <c r="M55">
        <f t="shared" si="1"/>
        <v>1</v>
      </c>
    </row>
    <row r="56" spans="1:13" x14ac:dyDescent="0.3">
      <c r="A56" t="s">
        <v>32</v>
      </c>
      <c r="B56">
        <v>1</v>
      </c>
      <c r="C56" t="s">
        <v>209</v>
      </c>
      <c r="D56" t="s">
        <v>265</v>
      </c>
      <c r="E56" t="s">
        <v>626</v>
      </c>
      <c r="F56" t="s">
        <v>987</v>
      </c>
      <c r="G56">
        <v>3</v>
      </c>
      <c r="H56">
        <v>5</v>
      </c>
      <c r="I56">
        <v>3</v>
      </c>
      <c r="J56">
        <v>1</v>
      </c>
      <c r="K56">
        <v>4</v>
      </c>
      <c r="L56">
        <f t="shared" si="0"/>
        <v>0</v>
      </c>
      <c r="M56">
        <f t="shared" si="1"/>
        <v>0</v>
      </c>
    </row>
    <row r="57" spans="1:13" x14ac:dyDescent="0.3">
      <c r="A57" t="s">
        <v>33</v>
      </c>
      <c r="B57">
        <v>1</v>
      </c>
      <c r="C57" t="s">
        <v>208</v>
      </c>
      <c r="D57" t="s">
        <v>266</v>
      </c>
      <c r="E57" t="s">
        <v>627</v>
      </c>
      <c r="F57" t="s">
        <v>988</v>
      </c>
      <c r="G57">
        <v>0</v>
      </c>
      <c r="H57">
        <v>0</v>
      </c>
      <c r="I57">
        <v>1</v>
      </c>
      <c r="J57">
        <v>0</v>
      </c>
      <c r="K57">
        <v>0</v>
      </c>
      <c r="L57">
        <f t="shared" si="0"/>
        <v>1</v>
      </c>
      <c r="M57">
        <f t="shared" si="1"/>
        <v>1</v>
      </c>
    </row>
    <row r="58" spans="1:13" x14ac:dyDescent="0.3">
      <c r="A58" t="s">
        <v>33</v>
      </c>
      <c r="B58">
        <v>1</v>
      </c>
      <c r="C58" t="s">
        <v>209</v>
      </c>
      <c r="D58" t="s">
        <v>267</v>
      </c>
      <c r="E58" t="s">
        <v>628</v>
      </c>
      <c r="F58" t="s">
        <v>989</v>
      </c>
      <c r="G58">
        <v>0</v>
      </c>
      <c r="H58">
        <v>0</v>
      </c>
      <c r="I58">
        <v>1</v>
      </c>
      <c r="J58">
        <v>0</v>
      </c>
      <c r="K58">
        <v>0</v>
      </c>
      <c r="L58">
        <f t="shared" si="0"/>
        <v>1</v>
      </c>
      <c r="M58">
        <f t="shared" si="1"/>
        <v>1</v>
      </c>
    </row>
    <row r="59" spans="1:13" x14ac:dyDescent="0.3">
      <c r="A59" t="s">
        <v>34</v>
      </c>
      <c r="B59">
        <v>1</v>
      </c>
      <c r="C59" t="s">
        <v>208</v>
      </c>
      <c r="D59" t="s">
        <v>268</v>
      </c>
      <c r="E59" t="s">
        <v>629</v>
      </c>
      <c r="F59" t="s">
        <v>990</v>
      </c>
      <c r="G59">
        <v>0</v>
      </c>
      <c r="H59">
        <v>0</v>
      </c>
      <c r="I59">
        <v>1</v>
      </c>
      <c r="J59">
        <v>0</v>
      </c>
      <c r="K59">
        <v>0</v>
      </c>
      <c r="L59">
        <f t="shared" si="0"/>
        <v>1</v>
      </c>
      <c r="M59">
        <f t="shared" si="1"/>
        <v>1</v>
      </c>
    </row>
    <row r="60" spans="1:13" x14ac:dyDescent="0.3">
      <c r="A60" t="s">
        <v>35</v>
      </c>
      <c r="B60">
        <v>1</v>
      </c>
      <c r="C60" t="s">
        <v>208</v>
      </c>
      <c r="D60" t="s">
        <v>269</v>
      </c>
      <c r="E60" t="s">
        <v>630</v>
      </c>
      <c r="F60" t="s">
        <v>991</v>
      </c>
      <c r="G60">
        <v>0</v>
      </c>
      <c r="H60">
        <v>0</v>
      </c>
      <c r="I60">
        <v>1</v>
      </c>
      <c r="J60">
        <v>0</v>
      </c>
      <c r="K60">
        <v>0</v>
      </c>
      <c r="L60">
        <f t="shared" si="0"/>
        <v>1</v>
      </c>
      <c r="M60">
        <f t="shared" si="1"/>
        <v>1</v>
      </c>
    </row>
    <row r="61" spans="1:13" x14ac:dyDescent="0.3">
      <c r="A61" t="s">
        <v>35</v>
      </c>
      <c r="B61">
        <v>1</v>
      </c>
      <c r="C61" t="s">
        <v>209</v>
      </c>
      <c r="D61" t="s">
        <v>270</v>
      </c>
      <c r="E61" t="s">
        <v>631</v>
      </c>
      <c r="F61" t="s">
        <v>992</v>
      </c>
      <c r="G61">
        <v>0</v>
      </c>
      <c r="H61">
        <v>0</v>
      </c>
      <c r="I61">
        <v>1</v>
      </c>
      <c r="J61">
        <v>0</v>
      </c>
      <c r="K61">
        <v>0</v>
      </c>
      <c r="L61">
        <f t="shared" si="0"/>
        <v>1</v>
      </c>
      <c r="M61">
        <f t="shared" si="1"/>
        <v>1</v>
      </c>
    </row>
    <row r="62" spans="1:13" x14ac:dyDescent="0.3">
      <c r="A62" t="s">
        <v>36</v>
      </c>
      <c r="B62">
        <v>1</v>
      </c>
      <c r="C62" t="s">
        <v>208</v>
      </c>
      <c r="D62" t="s">
        <v>271</v>
      </c>
      <c r="E62" t="s">
        <v>632</v>
      </c>
      <c r="F62" t="s">
        <v>993</v>
      </c>
      <c r="G62">
        <v>0</v>
      </c>
      <c r="H62">
        <v>0</v>
      </c>
      <c r="I62">
        <v>1</v>
      </c>
      <c r="J62">
        <v>0</v>
      </c>
      <c r="K62">
        <v>0</v>
      </c>
      <c r="L62">
        <f t="shared" si="0"/>
        <v>1</v>
      </c>
      <c r="M62">
        <f t="shared" si="1"/>
        <v>1</v>
      </c>
    </row>
    <row r="63" spans="1:13" x14ac:dyDescent="0.3">
      <c r="A63" t="s">
        <v>36</v>
      </c>
      <c r="B63">
        <v>1</v>
      </c>
      <c r="C63" t="s">
        <v>209</v>
      </c>
      <c r="D63" t="s">
        <v>272</v>
      </c>
      <c r="E63" t="s">
        <v>633</v>
      </c>
      <c r="F63" t="s">
        <v>994</v>
      </c>
      <c r="G63">
        <v>0</v>
      </c>
      <c r="H63">
        <v>1</v>
      </c>
      <c r="I63">
        <v>1</v>
      </c>
      <c r="J63">
        <v>0</v>
      </c>
      <c r="K63">
        <v>0</v>
      </c>
      <c r="L63">
        <f t="shared" si="0"/>
        <v>1</v>
      </c>
      <c r="M63">
        <f t="shared" si="1"/>
        <v>1</v>
      </c>
    </row>
    <row r="64" spans="1:13" x14ac:dyDescent="0.3">
      <c r="A64" t="s">
        <v>37</v>
      </c>
      <c r="B64">
        <v>1</v>
      </c>
      <c r="C64" t="s">
        <v>208</v>
      </c>
      <c r="D64" t="s">
        <v>273</v>
      </c>
      <c r="E64" t="s">
        <v>634</v>
      </c>
      <c r="F64" t="s">
        <v>995</v>
      </c>
      <c r="G64">
        <v>0</v>
      </c>
      <c r="H64">
        <v>1</v>
      </c>
      <c r="I64">
        <v>1</v>
      </c>
      <c r="J64">
        <v>1</v>
      </c>
      <c r="K64">
        <v>1</v>
      </c>
      <c r="L64">
        <f t="shared" si="0"/>
        <v>1</v>
      </c>
      <c r="M64">
        <f t="shared" si="1"/>
        <v>1</v>
      </c>
    </row>
    <row r="65" spans="1:22" x14ac:dyDescent="0.3">
      <c r="A65" t="s">
        <v>37</v>
      </c>
      <c r="B65">
        <v>1</v>
      </c>
      <c r="C65" t="s">
        <v>209</v>
      </c>
      <c r="D65" t="s">
        <v>274</v>
      </c>
      <c r="E65" t="s">
        <v>635</v>
      </c>
      <c r="F65" t="s">
        <v>996</v>
      </c>
      <c r="G65">
        <v>0</v>
      </c>
      <c r="H65">
        <v>1</v>
      </c>
      <c r="I65">
        <v>1</v>
      </c>
      <c r="J65">
        <v>1</v>
      </c>
      <c r="K65">
        <v>1</v>
      </c>
      <c r="L65">
        <f t="shared" si="0"/>
        <v>1</v>
      </c>
      <c r="M65">
        <f t="shared" si="1"/>
        <v>1</v>
      </c>
    </row>
    <row r="66" spans="1:22" x14ac:dyDescent="0.3">
      <c r="A66" t="s">
        <v>38</v>
      </c>
      <c r="B66">
        <v>1</v>
      </c>
      <c r="C66" t="s">
        <v>209</v>
      </c>
      <c r="D66" t="s">
        <v>275</v>
      </c>
      <c r="E66" t="s">
        <v>636</v>
      </c>
      <c r="F66" t="s">
        <v>997</v>
      </c>
      <c r="G66">
        <v>0</v>
      </c>
      <c r="H66">
        <v>0</v>
      </c>
      <c r="I66">
        <v>1</v>
      </c>
      <c r="J66">
        <v>0</v>
      </c>
      <c r="K66">
        <v>0</v>
      </c>
      <c r="L66">
        <f t="shared" si="0"/>
        <v>1</v>
      </c>
      <c r="M66">
        <f t="shared" si="1"/>
        <v>1</v>
      </c>
    </row>
    <row r="67" spans="1:22" x14ac:dyDescent="0.3">
      <c r="A67" t="s">
        <v>39</v>
      </c>
      <c r="B67">
        <v>1</v>
      </c>
      <c r="C67" t="s">
        <v>208</v>
      </c>
      <c r="D67" t="s">
        <v>276</v>
      </c>
      <c r="E67" t="s">
        <v>637</v>
      </c>
      <c r="F67" t="s">
        <v>998</v>
      </c>
      <c r="G67">
        <v>0</v>
      </c>
      <c r="H67">
        <v>0</v>
      </c>
      <c r="I67">
        <v>1</v>
      </c>
      <c r="J67">
        <v>0</v>
      </c>
      <c r="K67">
        <v>0</v>
      </c>
      <c r="L67">
        <f t="shared" ref="L67:L130" si="2">IF(G67=0,1,0)</f>
        <v>1</v>
      </c>
      <c r="M67">
        <f t="shared" ref="M67:M130" si="3">IF(K67&lt;4,1,0)</f>
        <v>1</v>
      </c>
    </row>
    <row r="68" spans="1:22" x14ac:dyDescent="0.3">
      <c r="A68" t="s">
        <v>39</v>
      </c>
      <c r="B68">
        <v>1</v>
      </c>
      <c r="C68" t="s">
        <v>209</v>
      </c>
      <c r="D68" t="s">
        <v>277</v>
      </c>
      <c r="E68" t="s">
        <v>638</v>
      </c>
      <c r="F68" t="s">
        <v>999</v>
      </c>
      <c r="G68">
        <v>0</v>
      </c>
      <c r="H68">
        <v>0</v>
      </c>
      <c r="I68">
        <v>1</v>
      </c>
      <c r="J68">
        <v>0</v>
      </c>
      <c r="K68">
        <v>0</v>
      </c>
      <c r="L68">
        <f t="shared" si="2"/>
        <v>1</v>
      </c>
      <c r="M68">
        <f t="shared" si="3"/>
        <v>1</v>
      </c>
    </row>
    <row r="69" spans="1:22" x14ac:dyDescent="0.3">
      <c r="A69" t="s">
        <v>40</v>
      </c>
      <c r="B69">
        <v>1</v>
      </c>
      <c r="C69" t="s">
        <v>208</v>
      </c>
      <c r="D69" t="s">
        <v>278</v>
      </c>
      <c r="E69" t="s">
        <v>639</v>
      </c>
      <c r="F69" t="s">
        <v>1000</v>
      </c>
      <c r="G69">
        <v>0</v>
      </c>
      <c r="H69">
        <v>1</v>
      </c>
      <c r="I69">
        <v>1</v>
      </c>
      <c r="J69">
        <v>1</v>
      </c>
      <c r="K69">
        <v>0</v>
      </c>
      <c r="L69">
        <f t="shared" si="2"/>
        <v>1</v>
      </c>
      <c r="M69">
        <f t="shared" si="3"/>
        <v>1</v>
      </c>
    </row>
    <row r="70" spans="1:22" x14ac:dyDescent="0.3">
      <c r="A70" t="s">
        <v>40</v>
      </c>
      <c r="B70">
        <v>1</v>
      </c>
      <c r="C70" t="s">
        <v>209</v>
      </c>
      <c r="D70" t="s">
        <v>279</v>
      </c>
      <c r="E70" t="s">
        <v>640</v>
      </c>
      <c r="F70" t="s">
        <v>1001</v>
      </c>
      <c r="G70">
        <v>0</v>
      </c>
      <c r="H70">
        <v>0</v>
      </c>
      <c r="I70">
        <v>1</v>
      </c>
      <c r="J70">
        <v>1</v>
      </c>
      <c r="K70">
        <v>0</v>
      </c>
      <c r="L70">
        <f t="shared" si="2"/>
        <v>1</v>
      </c>
      <c r="M70">
        <f t="shared" si="3"/>
        <v>1</v>
      </c>
    </row>
    <row r="71" spans="1:22" x14ac:dyDescent="0.3">
      <c r="A71" t="s">
        <v>41</v>
      </c>
      <c r="B71">
        <v>1</v>
      </c>
      <c r="C71" t="s">
        <v>208</v>
      </c>
      <c r="D71" t="s">
        <v>280</v>
      </c>
      <c r="E71" t="s">
        <v>641</v>
      </c>
      <c r="F71" t="s">
        <v>1002</v>
      </c>
      <c r="G71">
        <v>0</v>
      </c>
      <c r="H71">
        <v>1</v>
      </c>
      <c r="I71">
        <v>1</v>
      </c>
      <c r="J71">
        <v>2</v>
      </c>
      <c r="K71">
        <v>2</v>
      </c>
      <c r="L71">
        <f t="shared" si="2"/>
        <v>1</v>
      </c>
      <c r="M71">
        <f t="shared" si="3"/>
        <v>1</v>
      </c>
    </row>
    <row r="72" spans="1:22" x14ac:dyDescent="0.3">
      <c r="A72" t="s">
        <v>41</v>
      </c>
      <c r="B72">
        <v>1</v>
      </c>
      <c r="C72" t="s">
        <v>209</v>
      </c>
      <c r="D72" t="s">
        <v>281</v>
      </c>
      <c r="E72" t="s">
        <v>642</v>
      </c>
      <c r="F72" t="s">
        <v>1003</v>
      </c>
      <c r="G72">
        <v>0</v>
      </c>
      <c r="H72">
        <v>0</v>
      </c>
      <c r="I72">
        <v>1</v>
      </c>
      <c r="J72">
        <v>1</v>
      </c>
      <c r="K72">
        <v>1</v>
      </c>
      <c r="L72">
        <f t="shared" si="2"/>
        <v>1</v>
      </c>
      <c r="M72">
        <f t="shared" si="3"/>
        <v>1</v>
      </c>
      <c r="Q72">
        <v>0</v>
      </c>
      <c r="R72">
        <f>COUNTIF(G:G,0)</f>
        <v>253</v>
      </c>
      <c r="U72">
        <v>0</v>
      </c>
      <c r="V72">
        <f>COUNTIF(K:K,0)</f>
        <v>219</v>
      </c>
    </row>
    <row r="73" spans="1:22" x14ac:dyDescent="0.3">
      <c r="A73" t="s">
        <v>42</v>
      </c>
      <c r="B73">
        <v>1</v>
      </c>
      <c r="C73" t="s">
        <v>208</v>
      </c>
      <c r="D73" t="s">
        <v>282</v>
      </c>
      <c r="E73" t="s">
        <v>643</v>
      </c>
      <c r="F73" t="s">
        <v>1004</v>
      </c>
      <c r="G73">
        <v>4</v>
      </c>
      <c r="H73">
        <v>8</v>
      </c>
      <c r="I73">
        <v>4</v>
      </c>
      <c r="J73">
        <v>6</v>
      </c>
      <c r="K73">
        <v>15</v>
      </c>
      <c r="L73">
        <f t="shared" si="2"/>
        <v>0</v>
      </c>
      <c r="M73">
        <f t="shared" si="3"/>
        <v>0</v>
      </c>
      <c r="Q73">
        <v>1</v>
      </c>
      <c r="R73">
        <f>COUNTIF(G:G,1)</f>
        <v>15</v>
      </c>
      <c r="U73">
        <v>1</v>
      </c>
      <c r="V73">
        <f>COUNTIF(K:K,1)</f>
        <v>38</v>
      </c>
    </row>
    <row r="74" spans="1:22" x14ac:dyDescent="0.3">
      <c r="A74" t="s">
        <v>42</v>
      </c>
      <c r="B74">
        <v>1</v>
      </c>
      <c r="C74" t="s">
        <v>209</v>
      </c>
      <c r="D74" t="s">
        <v>283</v>
      </c>
      <c r="E74" t="s">
        <v>644</v>
      </c>
      <c r="F74" t="s">
        <v>1005</v>
      </c>
      <c r="G74">
        <v>3</v>
      </c>
      <c r="H74">
        <v>10</v>
      </c>
      <c r="I74">
        <v>4</v>
      </c>
      <c r="J74">
        <v>4</v>
      </c>
      <c r="K74">
        <v>10</v>
      </c>
      <c r="L74">
        <f t="shared" si="2"/>
        <v>0</v>
      </c>
      <c r="M74">
        <f t="shared" si="3"/>
        <v>0</v>
      </c>
      <c r="Q74">
        <v>2</v>
      </c>
      <c r="R74">
        <f>COUNTIF(G:G,2)</f>
        <v>22</v>
      </c>
      <c r="U74">
        <v>2</v>
      </c>
      <c r="V74">
        <f>COUNTIF(K:K,2)</f>
        <v>21</v>
      </c>
    </row>
    <row r="75" spans="1:22" x14ac:dyDescent="0.3">
      <c r="A75" t="s">
        <v>43</v>
      </c>
      <c r="B75">
        <v>1</v>
      </c>
      <c r="C75" t="s">
        <v>209</v>
      </c>
      <c r="D75" t="s">
        <v>284</v>
      </c>
      <c r="E75" t="s">
        <v>645</v>
      </c>
      <c r="F75" t="s">
        <v>1006</v>
      </c>
      <c r="G75">
        <v>0</v>
      </c>
      <c r="H75">
        <v>0</v>
      </c>
      <c r="I75">
        <v>1</v>
      </c>
      <c r="J75">
        <v>0</v>
      </c>
      <c r="K75">
        <v>0</v>
      </c>
      <c r="L75">
        <f t="shared" si="2"/>
        <v>1</v>
      </c>
      <c r="M75">
        <f t="shared" si="3"/>
        <v>1</v>
      </c>
      <c r="Q75">
        <v>3</v>
      </c>
      <c r="R75">
        <f>COUNTIF(G:G,3)</f>
        <v>28</v>
      </c>
      <c r="U75">
        <v>3</v>
      </c>
      <c r="V75">
        <f>COUNTIF(K:K,3)</f>
        <v>13</v>
      </c>
    </row>
    <row r="76" spans="1:22" x14ac:dyDescent="0.3">
      <c r="A76" t="s">
        <v>44</v>
      </c>
      <c r="B76">
        <v>1</v>
      </c>
      <c r="C76" t="s">
        <v>208</v>
      </c>
      <c r="D76" t="s">
        <v>285</v>
      </c>
      <c r="E76" t="s">
        <v>646</v>
      </c>
      <c r="F76" t="s">
        <v>1007</v>
      </c>
      <c r="G76">
        <v>0</v>
      </c>
      <c r="H76">
        <v>0</v>
      </c>
      <c r="I76">
        <v>1</v>
      </c>
      <c r="J76">
        <v>0</v>
      </c>
      <c r="K76">
        <v>1</v>
      </c>
      <c r="L76">
        <f t="shared" si="2"/>
        <v>1</v>
      </c>
      <c r="M76">
        <f t="shared" si="3"/>
        <v>1</v>
      </c>
      <c r="Q76">
        <v>4</v>
      </c>
      <c r="R76">
        <f>COUNTIF(G:G,4)</f>
        <v>42</v>
      </c>
      <c r="U76">
        <v>4</v>
      </c>
      <c r="V76">
        <f>COUNTIF(K:K,4)</f>
        <v>7</v>
      </c>
    </row>
    <row r="77" spans="1:22" x14ac:dyDescent="0.3">
      <c r="A77" t="s">
        <v>44</v>
      </c>
      <c r="B77">
        <v>1</v>
      </c>
      <c r="C77" t="s">
        <v>209</v>
      </c>
      <c r="D77" t="s">
        <v>286</v>
      </c>
      <c r="E77" t="s">
        <v>647</v>
      </c>
      <c r="F77" t="s">
        <v>1008</v>
      </c>
      <c r="G77">
        <v>0</v>
      </c>
      <c r="H77">
        <v>0</v>
      </c>
      <c r="I77">
        <v>1</v>
      </c>
      <c r="J77">
        <v>0</v>
      </c>
      <c r="K77">
        <v>1</v>
      </c>
      <c r="L77">
        <f t="shared" si="2"/>
        <v>1</v>
      </c>
      <c r="M77">
        <f t="shared" si="3"/>
        <v>1</v>
      </c>
      <c r="U77">
        <v>5</v>
      </c>
      <c r="V77">
        <f>COUNTIF(K:K,5)</f>
        <v>8</v>
      </c>
    </row>
    <row r="78" spans="1:22" x14ac:dyDescent="0.3">
      <c r="A78" t="s">
        <v>45</v>
      </c>
      <c r="B78">
        <v>1</v>
      </c>
      <c r="C78" t="s">
        <v>208</v>
      </c>
      <c r="D78" t="s">
        <v>287</v>
      </c>
      <c r="E78" t="s">
        <v>648</v>
      </c>
      <c r="F78" t="s">
        <v>1009</v>
      </c>
      <c r="G78">
        <v>4</v>
      </c>
      <c r="H78">
        <v>7</v>
      </c>
      <c r="I78">
        <v>4</v>
      </c>
      <c r="J78">
        <v>3</v>
      </c>
      <c r="K78">
        <v>7</v>
      </c>
      <c r="L78">
        <f t="shared" si="2"/>
        <v>0</v>
      </c>
      <c r="M78">
        <f t="shared" si="3"/>
        <v>0</v>
      </c>
      <c r="U78">
        <v>6</v>
      </c>
      <c r="V78">
        <f>COUNTIF(K:K,6)</f>
        <v>5</v>
      </c>
    </row>
    <row r="79" spans="1:22" x14ac:dyDescent="0.3">
      <c r="A79" t="s">
        <v>45</v>
      </c>
      <c r="B79">
        <v>1</v>
      </c>
      <c r="C79" t="s">
        <v>209</v>
      </c>
      <c r="D79" t="s">
        <v>288</v>
      </c>
      <c r="E79" t="s">
        <v>649</v>
      </c>
      <c r="F79" t="s">
        <v>1010</v>
      </c>
      <c r="G79">
        <v>0</v>
      </c>
      <c r="H79">
        <v>1</v>
      </c>
      <c r="I79">
        <v>1</v>
      </c>
      <c r="J79">
        <v>0</v>
      </c>
      <c r="K79">
        <v>0</v>
      </c>
      <c r="L79">
        <f t="shared" si="2"/>
        <v>1</v>
      </c>
      <c r="M79">
        <f t="shared" si="3"/>
        <v>1</v>
      </c>
      <c r="U79">
        <v>7</v>
      </c>
      <c r="V79">
        <f>COUNTIF(K:K,7)</f>
        <v>7</v>
      </c>
    </row>
    <row r="80" spans="1:22" x14ac:dyDescent="0.3">
      <c r="A80" t="s">
        <v>46</v>
      </c>
      <c r="B80">
        <v>1</v>
      </c>
      <c r="C80" t="s">
        <v>208</v>
      </c>
      <c r="D80" t="s">
        <v>289</v>
      </c>
      <c r="E80" t="s">
        <v>650</v>
      </c>
      <c r="F80" t="s">
        <v>1011</v>
      </c>
      <c r="G80">
        <v>1</v>
      </c>
      <c r="H80">
        <v>1</v>
      </c>
      <c r="I80">
        <v>1</v>
      </c>
      <c r="J80">
        <v>2</v>
      </c>
      <c r="K80">
        <v>3</v>
      </c>
      <c r="L80">
        <f t="shared" si="2"/>
        <v>0</v>
      </c>
      <c r="M80">
        <f t="shared" si="3"/>
        <v>1</v>
      </c>
      <c r="U80">
        <v>8</v>
      </c>
      <c r="V80">
        <f>COUNTIF(K:K,8)</f>
        <v>9</v>
      </c>
    </row>
    <row r="81" spans="1:22" x14ac:dyDescent="0.3">
      <c r="A81" t="s">
        <v>46</v>
      </c>
      <c r="B81">
        <v>1</v>
      </c>
      <c r="C81" t="s">
        <v>209</v>
      </c>
      <c r="D81" t="s">
        <v>290</v>
      </c>
      <c r="E81" t="s">
        <v>651</v>
      </c>
      <c r="F81" t="s">
        <v>1012</v>
      </c>
      <c r="G81">
        <v>1</v>
      </c>
      <c r="H81">
        <v>1</v>
      </c>
      <c r="I81">
        <v>1</v>
      </c>
      <c r="J81">
        <v>1</v>
      </c>
      <c r="K81">
        <v>5</v>
      </c>
      <c r="L81">
        <f t="shared" si="2"/>
        <v>0</v>
      </c>
      <c r="M81">
        <f t="shared" si="3"/>
        <v>0</v>
      </c>
      <c r="U81">
        <v>9</v>
      </c>
      <c r="V81">
        <f>COUNTIF(K:K,9)</f>
        <v>4</v>
      </c>
    </row>
    <row r="82" spans="1:22" x14ac:dyDescent="0.3">
      <c r="A82" t="s">
        <v>47</v>
      </c>
      <c r="B82">
        <v>2</v>
      </c>
      <c r="C82" t="s">
        <v>208</v>
      </c>
      <c r="D82" t="s">
        <v>291</v>
      </c>
      <c r="E82" t="s">
        <v>652</v>
      </c>
      <c r="F82" t="s">
        <v>1013</v>
      </c>
      <c r="G82">
        <v>0</v>
      </c>
      <c r="H82">
        <v>0</v>
      </c>
      <c r="I82">
        <v>2</v>
      </c>
      <c r="J82">
        <v>0</v>
      </c>
      <c r="K82">
        <v>0</v>
      </c>
      <c r="L82">
        <f t="shared" si="2"/>
        <v>1</v>
      </c>
      <c r="M82">
        <f t="shared" si="3"/>
        <v>1</v>
      </c>
      <c r="U82">
        <v>10</v>
      </c>
      <c r="V82">
        <f>COUNTIF(K:K,10)</f>
        <v>6</v>
      </c>
    </row>
    <row r="83" spans="1:22" x14ac:dyDescent="0.3">
      <c r="A83" t="s">
        <v>47</v>
      </c>
      <c r="B83">
        <v>2</v>
      </c>
      <c r="C83" t="s">
        <v>209</v>
      </c>
      <c r="D83" t="s">
        <v>292</v>
      </c>
      <c r="E83" t="s">
        <v>653</v>
      </c>
      <c r="F83" t="s">
        <v>1014</v>
      </c>
      <c r="G83">
        <v>0</v>
      </c>
      <c r="H83">
        <v>0</v>
      </c>
      <c r="I83">
        <v>2</v>
      </c>
      <c r="J83">
        <v>0</v>
      </c>
      <c r="K83">
        <v>0</v>
      </c>
      <c r="L83">
        <f t="shared" si="2"/>
        <v>1</v>
      </c>
      <c r="M83">
        <f t="shared" si="3"/>
        <v>1</v>
      </c>
      <c r="U83">
        <v>11</v>
      </c>
      <c r="V83">
        <f>COUNTIF(K:K,11)</f>
        <v>3</v>
      </c>
    </row>
    <row r="84" spans="1:22" x14ac:dyDescent="0.3">
      <c r="A84" t="s">
        <v>48</v>
      </c>
      <c r="B84">
        <v>2</v>
      </c>
      <c r="C84" t="s">
        <v>208</v>
      </c>
      <c r="D84" t="s">
        <v>293</v>
      </c>
      <c r="E84" t="s">
        <v>654</v>
      </c>
      <c r="F84" t="s">
        <v>1015</v>
      </c>
      <c r="G84">
        <v>0</v>
      </c>
      <c r="H84">
        <v>1</v>
      </c>
      <c r="I84">
        <v>2</v>
      </c>
      <c r="J84">
        <v>0</v>
      </c>
      <c r="K84">
        <v>0</v>
      </c>
      <c r="L84">
        <f t="shared" si="2"/>
        <v>1</v>
      </c>
      <c r="M84">
        <f t="shared" si="3"/>
        <v>1</v>
      </c>
      <c r="U84">
        <v>12</v>
      </c>
      <c r="V84">
        <f>COUNTIF(K:K,12)</f>
        <v>3</v>
      </c>
    </row>
    <row r="85" spans="1:22" x14ac:dyDescent="0.3">
      <c r="A85" t="s">
        <v>48</v>
      </c>
      <c r="B85">
        <v>2</v>
      </c>
      <c r="C85" t="s">
        <v>209</v>
      </c>
      <c r="D85" t="s">
        <v>294</v>
      </c>
      <c r="E85" t="s">
        <v>655</v>
      </c>
      <c r="F85" t="s">
        <v>1016</v>
      </c>
      <c r="G85">
        <v>0</v>
      </c>
      <c r="H85">
        <v>1</v>
      </c>
      <c r="I85">
        <v>2</v>
      </c>
      <c r="J85">
        <v>0</v>
      </c>
      <c r="K85">
        <v>0</v>
      </c>
      <c r="L85">
        <f t="shared" si="2"/>
        <v>1</v>
      </c>
      <c r="M85">
        <f t="shared" si="3"/>
        <v>1</v>
      </c>
      <c r="U85">
        <v>13</v>
      </c>
      <c r="V85">
        <f>COUNTIF(K:K,13)</f>
        <v>7</v>
      </c>
    </row>
    <row r="86" spans="1:22" x14ac:dyDescent="0.3">
      <c r="A86" t="s">
        <v>49</v>
      </c>
      <c r="B86">
        <v>2</v>
      </c>
      <c r="C86" t="s">
        <v>208</v>
      </c>
      <c r="D86" t="s">
        <v>295</v>
      </c>
      <c r="E86" t="s">
        <v>656</v>
      </c>
      <c r="F86" t="s">
        <v>1017</v>
      </c>
      <c r="G86">
        <v>0</v>
      </c>
      <c r="H86">
        <v>1</v>
      </c>
      <c r="I86">
        <v>2</v>
      </c>
      <c r="J86">
        <v>0</v>
      </c>
      <c r="K86">
        <v>0</v>
      </c>
      <c r="L86">
        <f t="shared" si="2"/>
        <v>1</v>
      </c>
      <c r="M86">
        <f t="shared" si="3"/>
        <v>1</v>
      </c>
      <c r="U86">
        <v>14</v>
      </c>
      <c r="V86">
        <f>COUNTIF(K:K,14)</f>
        <v>3</v>
      </c>
    </row>
    <row r="87" spans="1:22" x14ac:dyDescent="0.3">
      <c r="A87" t="s">
        <v>49</v>
      </c>
      <c r="B87">
        <v>2</v>
      </c>
      <c r="C87" t="s">
        <v>209</v>
      </c>
      <c r="D87" t="s">
        <v>296</v>
      </c>
      <c r="E87" t="s">
        <v>657</v>
      </c>
      <c r="F87" t="s">
        <v>1018</v>
      </c>
      <c r="G87">
        <v>1</v>
      </c>
      <c r="H87">
        <v>1</v>
      </c>
      <c r="I87">
        <v>2</v>
      </c>
      <c r="J87">
        <v>0</v>
      </c>
      <c r="K87">
        <v>0</v>
      </c>
      <c r="L87">
        <f t="shared" si="2"/>
        <v>0</v>
      </c>
      <c r="M87">
        <f t="shared" si="3"/>
        <v>1</v>
      </c>
      <c r="U87">
        <v>15</v>
      </c>
      <c r="V87">
        <f>COUNTIF(K:K,15)</f>
        <v>7</v>
      </c>
    </row>
    <row r="88" spans="1:22" x14ac:dyDescent="0.3">
      <c r="A88" t="s">
        <v>50</v>
      </c>
      <c r="B88">
        <v>2</v>
      </c>
      <c r="C88" t="s">
        <v>208</v>
      </c>
      <c r="D88" t="s">
        <v>297</v>
      </c>
      <c r="E88" t="s">
        <v>658</v>
      </c>
      <c r="F88" t="s">
        <v>1019</v>
      </c>
      <c r="G88">
        <v>0</v>
      </c>
      <c r="H88">
        <v>0</v>
      </c>
      <c r="I88">
        <v>1</v>
      </c>
      <c r="J88">
        <v>0</v>
      </c>
      <c r="K88">
        <v>0</v>
      </c>
      <c r="L88">
        <f t="shared" si="2"/>
        <v>1</v>
      </c>
      <c r="M88">
        <f t="shared" si="3"/>
        <v>1</v>
      </c>
    </row>
    <row r="89" spans="1:22" x14ac:dyDescent="0.3">
      <c r="A89" t="s">
        <v>50</v>
      </c>
      <c r="B89">
        <v>2</v>
      </c>
      <c r="C89" t="s">
        <v>209</v>
      </c>
      <c r="D89" t="s">
        <v>298</v>
      </c>
      <c r="E89" t="s">
        <v>659</v>
      </c>
      <c r="F89" t="s">
        <v>1020</v>
      </c>
      <c r="G89">
        <v>0</v>
      </c>
      <c r="H89">
        <v>0</v>
      </c>
      <c r="I89">
        <v>1</v>
      </c>
      <c r="J89">
        <v>0</v>
      </c>
      <c r="K89">
        <v>0</v>
      </c>
      <c r="L89">
        <f t="shared" si="2"/>
        <v>1</v>
      </c>
      <c r="M89">
        <f t="shared" si="3"/>
        <v>1</v>
      </c>
    </row>
    <row r="90" spans="1:22" x14ac:dyDescent="0.3">
      <c r="A90" t="s">
        <v>51</v>
      </c>
      <c r="B90">
        <v>2</v>
      </c>
      <c r="C90" t="s">
        <v>208</v>
      </c>
      <c r="D90" t="s">
        <v>299</v>
      </c>
      <c r="E90" t="s">
        <v>660</v>
      </c>
      <c r="F90" t="s">
        <v>1021</v>
      </c>
      <c r="G90">
        <v>0</v>
      </c>
      <c r="H90">
        <v>1</v>
      </c>
      <c r="I90">
        <v>1</v>
      </c>
      <c r="J90">
        <v>1</v>
      </c>
      <c r="K90">
        <v>0</v>
      </c>
      <c r="L90">
        <f t="shared" si="2"/>
        <v>1</v>
      </c>
      <c r="M90">
        <f t="shared" si="3"/>
        <v>1</v>
      </c>
    </row>
    <row r="91" spans="1:22" x14ac:dyDescent="0.3">
      <c r="A91" t="s">
        <v>51</v>
      </c>
      <c r="B91">
        <v>2</v>
      </c>
      <c r="C91" t="s">
        <v>209</v>
      </c>
      <c r="D91" t="s">
        <v>300</v>
      </c>
      <c r="E91" t="s">
        <v>661</v>
      </c>
      <c r="F91" t="s">
        <v>1022</v>
      </c>
      <c r="G91">
        <v>0</v>
      </c>
      <c r="H91">
        <v>0</v>
      </c>
      <c r="I91">
        <v>1</v>
      </c>
      <c r="J91">
        <v>1</v>
      </c>
      <c r="K91">
        <v>0</v>
      </c>
      <c r="L91">
        <f t="shared" si="2"/>
        <v>1</v>
      </c>
      <c r="M91">
        <f t="shared" si="3"/>
        <v>1</v>
      </c>
    </row>
    <row r="92" spans="1:22" x14ac:dyDescent="0.3">
      <c r="A92" t="s">
        <v>52</v>
      </c>
      <c r="B92">
        <v>2</v>
      </c>
      <c r="C92" t="s">
        <v>208</v>
      </c>
      <c r="D92" t="s">
        <v>301</v>
      </c>
      <c r="E92" t="s">
        <v>662</v>
      </c>
      <c r="F92" t="s">
        <v>1023</v>
      </c>
      <c r="G92">
        <v>0</v>
      </c>
      <c r="H92">
        <v>1</v>
      </c>
      <c r="I92">
        <v>1</v>
      </c>
      <c r="J92">
        <v>1</v>
      </c>
      <c r="K92">
        <v>0</v>
      </c>
      <c r="L92">
        <f t="shared" si="2"/>
        <v>1</v>
      </c>
      <c r="M92">
        <f t="shared" si="3"/>
        <v>1</v>
      </c>
    </row>
    <row r="93" spans="1:22" x14ac:dyDescent="0.3">
      <c r="A93" t="s">
        <v>52</v>
      </c>
      <c r="B93">
        <v>2</v>
      </c>
      <c r="C93" t="s">
        <v>209</v>
      </c>
      <c r="D93" t="s">
        <v>302</v>
      </c>
      <c r="E93" t="s">
        <v>663</v>
      </c>
      <c r="F93" t="s">
        <v>1024</v>
      </c>
      <c r="G93">
        <v>0</v>
      </c>
      <c r="H93">
        <v>1</v>
      </c>
      <c r="I93">
        <v>1</v>
      </c>
      <c r="J93">
        <v>1</v>
      </c>
      <c r="K93">
        <v>0</v>
      </c>
      <c r="L93">
        <f t="shared" si="2"/>
        <v>1</v>
      </c>
      <c r="M93">
        <f t="shared" si="3"/>
        <v>1</v>
      </c>
    </row>
    <row r="94" spans="1:22" x14ac:dyDescent="0.3">
      <c r="A94" t="s">
        <v>53</v>
      </c>
      <c r="B94">
        <v>2</v>
      </c>
      <c r="C94" t="s">
        <v>208</v>
      </c>
      <c r="D94" t="s">
        <v>303</v>
      </c>
      <c r="E94" t="s">
        <v>664</v>
      </c>
      <c r="F94" t="s">
        <v>1025</v>
      </c>
      <c r="G94">
        <v>4</v>
      </c>
      <c r="H94">
        <v>7</v>
      </c>
      <c r="I94">
        <v>4</v>
      </c>
      <c r="J94">
        <v>0</v>
      </c>
      <c r="K94">
        <v>0</v>
      </c>
      <c r="L94">
        <f t="shared" si="2"/>
        <v>0</v>
      </c>
      <c r="M94">
        <f t="shared" si="3"/>
        <v>1</v>
      </c>
    </row>
    <row r="95" spans="1:22" x14ac:dyDescent="0.3">
      <c r="A95" t="s">
        <v>54</v>
      </c>
      <c r="B95">
        <v>2</v>
      </c>
      <c r="C95" t="s">
        <v>208</v>
      </c>
      <c r="D95" t="s">
        <v>304</v>
      </c>
      <c r="E95" t="s">
        <v>665</v>
      </c>
      <c r="F95" t="s">
        <v>1026</v>
      </c>
      <c r="G95">
        <v>0</v>
      </c>
      <c r="H95">
        <v>0</v>
      </c>
      <c r="I95">
        <v>2</v>
      </c>
      <c r="J95">
        <v>0</v>
      </c>
      <c r="K95">
        <v>0</v>
      </c>
      <c r="L95">
        <f t="shared" si="2"/>
        <v>1</v>
      </c>
      <c r="M95">
        <f t="shared" si="3"/>
        <v>1</v>
      </c>
    </row>
    <row r="96" spans="1:22" x14ac:dyDescent="0.3">
      <c r="A96" t="s">
        <v>55</v>
      </c>
      <c r="B96">
        <v>2</v>
      </c>
      <c r="C96" t="s">
        <v>208</v>
      </c>
      <c r="D96" t="s">
        <v>305</v>
      </c>
      <c r="E96" t="s">
        <v>666</v>
      </c>
      <c r="F96" t="s">
        <v>1027</v>
      </c>
      <c r="G96">
        <v>0</v>
      </c>
      <c r="H96">
        <v>0</v>
      </c>
      <c r="I96">
        <v>2</v>
      </c>
      <c r="J96">
        <v>0</v>
      </c>
      <c r="K96">
        <v>0</v>
      </c>
      <c r="L96">
        <f t="shared" si="2"/>
        <v>1</v>
      </c>
      <c r="M96">
        <f t="shared" si="3"/>
        <v>1</v>
      </c>
    </row>
    <row r="97" spans="1:13" x14ac:dyDescent="0.3">
      <c r="A97" t="s">
        <v>55</v>
      </c>
      <c r="B97">
        <v>2</v>
      </c>
      <c r="C97" t="s">
        <v>209</v>
      </c>
      <c r="D97" t="s">
        <v>306</v>
      </c>
      <c r="E97" t="s">
        <v>667</v>
      </c>
      <c r="F97" t="s">
        <v>1028</v>
      </c>
      <c r="G97">
        <v>0</v>
      </c>
      <c r="H97">
        <v>0</v>
      </c>
      <c r="I97">
        <v>2</v>
      </c>
      <c r="J97">
        <v>0</v>
      </c>
      <c r="K97">
        <v>0</v>
      </c>
      <c r="L97">
        <f t="shared" si="2"/>
        <v>1</v>
      </c>
      <c r="M97">
        <f t="shared" si="3"/>
        <v>1</v>
      </c>
    </row>
    <row r="98" spans="1:13" x14ac:dyDescent="0.3">
      <c r="A98" t="s">
        <v>56</v>
      </c>
      <c r="B98">
        <v>2</v>
      </c>
      <c r="C98" t="s">
        <v>208</v>
      </c>
      <c r="D98" t="s">
        <v>307</v>
      </c>
      <c r="E98" t="s">
        <v>668</v>
      </c>
      <c r="F98" t="s">
        <v>1029</v>
      </c>
      <c r="G98">
        <v>3</v>
      </c>
      <c r="H98">
        <v>11</v>
      </c>
      <c r="I98">
        <v>5</v>
      </c>
      <c r="J98">
        <v>4</v>
      </c>
      <c r="K98">
        <v>5</v>
      </c>
      <c r="L98">
        <f t="shared" si="2"/>
        <v>0</v>
      </c>
      <c r="M98">
        <f t="shared" si="3"/>
        <v>0</v>
      </c>
    </row>
    <row r="99" spans="1:13" x14ac:dyDescent="0.3">
      <c r="A99" t="s">
        <v>56</v>
      </c>
      <c r="B99">
        <v>2</v>
      </c>
      <c r="C99" t="s">
        <v>209</v>
      </c>
      <c r="D99" t="s">
        <v>308</v>
      </c>
      <c r="E99" t="s">
        <v>669</v>
      </c>
      <c r="F99" t="s">
        <v>1030</v>
      </c>
      <c r="G99">
        <v>4</v>
      </c>
      <c r="H99">
        <v>10</v>
      </c>
      <c r="I99">
        <v>4</v>
      </c>
      <c r="J99">
        <v>4</v>
      </c>
      <c r="K99">
        <v>7</v>
      </c>
      <c r="L99">
        <f t="shared" si="2"/>
        <v>0</v>
      </c>
      <c r="M99">
        <f t="shared" si="3"/>
        <v>0</v>
      </c>
    </row>
    <row r="100" spans="1:13" x14ac:dyDescent="0.3">
      <c r="A100" t="s">
        <v>57</v>
      </c>
      <c r="B100">
        <v>2</v>
      </c>
      <c r="C100" t="s">
        <v>208</v>
      </c>
      <c r="D100" t="s">
        <v>309</v>
      </c>
      <c r="E100" t="s">
        <v>670</v>
      </c>
      <c r="F100" t="s">
        <v>1031</v>
      </c>
      <c r="G100">
        <v>0</v>
      </c>
      <c r="H100">
        <v>1</v>
      </c>
      <c r="I100">
        <v>2</v>
      </c>
      <c r="J100">
        <v>0</v>
      </c>
      <c r="K100">
        <v>0</v>
      </c>
      <c r="L100">
        <f t="shared" si="2"/>
        <v>1</v>
      </c>
      <c r="M100">
        <f t="shared" si="3"/>
        <v>1</v>
      </c>
    </row>
    <row r="101" spans="1:13" x14ac:dyDescent="0.3">
      <c r="A101" t="s">
        <v>57</v>
      </c>
      <c r="B101">
        <v>2</v>
      </c>
      <c r="C101" t="s">
        <v>209</v>
      </c>
      <c r="D101" t="s">
        <v>310</v>
      </c>
      <c r="E101" t="s">
        <v>671</v>
      </c>
      <c r="F101" t="s">
        <v>1032</v>
      </c>
      <c r="G101">
        <v>0</v>
      </c>
      <c r="H101">
        <v>1</v>
      </c>
      <c r="I101">
        <v>2</v>
      </c>
      <c r="J101">
        <v>0</v>
      </c>
      <c r="K101">
        <v>0</v>
      </c>
      <c r="L101">
        <f t="shared" si="2"/>
        <v>1</v>
      </c>
      <c r="M101">
        <f t="shared" si="3"/>
        <v>1</v>
      </c>
    </row>
    <row r="102" spans="1:13" x14ac:dyDescent="0.3">
      <c r="A102" t="s">
        <v>58</v>
      </c>
      <c r="B102">
        <v>2</v>
      </c>
      <c r="C102" t="s">
        <v>209</v>
      </c>
      <c r="D102" t="s">
        <v>311</v>
      </c>
      <c r="E102" t="s">
        <v>672</v>
      </c>
      <c r="F102" t="s">
        <v>1033</v>
      </c>
      <c r="G102">
        <v>0</v>
      </c>
      <c r="H102">
        <v>1</v>
      </c>
      <c r="I102">
        <v>2</v>
      </c>
      <c r="J102">
        <v>1</v>
      </c>
      <c r="K102">
        <v>0</v>
      </c>
      <c r="L102">
        <f t="shared" si="2"/>
        <v>1</v>
      </c>
      <c r="M102">
        <f t="shared" si="3"/>
        <v>1</v>
      </c>
    </row>
    <row r="103" spans="1:13" x14ac:dyDescent="0.3">
      <c r="A103" t="s">
        <v>59</v>
      </c>
      <c r="B103">
        <v>2</v>
      </c>
      <c r="C103" t="s">
        <v>208</v>
      </c>
      <c r="D103" t="s">
        <v>312</v>
      </c>
      <c r="E103" t="s">
        <v>673</v>
      </c>
      <c r="F103" t="s">
        <v>1034</v>
      </c>
      <c r="G103">
        <v>0</v>
      </c>
      <c r="H103">
        <v>0</v>
      </c>
      <c r="I103">
        <v>2</v>
      </c>
      <c r="J103">
        <v>0</v>
      </c>
      <c r="K103">
        <v>0</v>
      </c>
      <c r="L103">
        <f t="shared" si="2"/>
        <v>1</v>
      </c>
      <c r="M103">
        <f t="shared" si="3"/>
        <v>1</v>
      </c>
    </row>
    <row r="104" spans="1:13" x14ac:dyDescent="0.3">
      <c r="A104" t="s">
        <v>59</v>
      </c>
      <c r="B104">
        <v>2</v>
      </c>
      <c r="C104" t="s">
        <v>209</v>
      </c>
      <c r="D104" t="s">
        <v>313</v>
      </c>
      <c r="E104" t="s">
        <v>674</v>
      </c>
      <c r="F104" t="s">
        <v>1035</v>
      </c>
      <c r="G104">
        <v>0</v>
      </c>
      <c r="H104">
        <v>2</v>
      </c>
      <c r="I104">
        <v>2</v>
      </c>
      <c r="J104">
        <v>0</v>
      </c>
      <c r="K104">
        <v>0</v>
      </c>
      <c r="L104">
        <f t="shared" si="2"/>
        <v>1</v>
      </c>
      <c r="M104">
        <f t="shared" si="3"/>
        <v>1</v>
      </c>
    </row>
    <row r="105" spans="1:13" x14ac:dyDescent="0.3">
      <c r="A105" t="s">
        <v>60</v>
      </c>
      <c r="B105">
        <v>2</v>
      </c>
      <c r="C105" t="s">
        <v>208</v>
      </c>
      <c r="D105" t="s">
        <v>314</v>
      </c>
      <c r="E105" t="s">
        <v>675</v>
      </c>
      <c r="F105" t="s">
        <v>1036</v>
      </c>
      <c r="G105">
        <v>0</v>
      </c>
      <c r="H105">
        <v>1</v>
      </c>
      <c r="I105">
        <v>2</v>
      </c>
      <c r="J105">
        <v>1</v>
      </c>
      <c r="K105">
        <v>1</v>
      </c>
      <c r="L105">
        <f t="shared" si="2"/>
        <v>1</v>
      </c>
      <c r="M105">
        <f t="shared" si="3"/>
        <v>1</v>
      </c>
    </row>
    <row r="106" spans="1:13" x14ac:dyDescent="0.3">
      <c r="A106" t="s">
        <v>60</v>
      </c>
      <c r="B106">
        <v>2</v>
      </c>
      <c r="C106" t="s">
        <v>209</v>
      </c>
      <c r="D106" t="s">
        <v>315</v>
      </c>
      <c r="E106" t="s">
        <v>676</v>
      </c>
      <c r="F106" t="s">
        <v>1037</v>
      </c>
      <c r="G106">
        <v>4</v>
      </c>
      <c r="H106">
        <v>6</v>
      </c>
      <c r="I106">
        <v>3</v>
      </c>
      <c r="J106">
        <v>4</v>
      </c>
      <c r="K106">
        <v>8</v>
      </c>
      <c r="L106">
        <f t="shared" si="2"/>
        <v>0</v>
      </c>
      <c r="M106">
        <f t="shared" si="3"/>
        <v>0</v>
      </c>
    </row>
    <row r="107" spans="1:13" x14ac:dyDescent="0.3">
      <c r="A107" t="s">
        <v>61</v>
      </c>
      <c r="B107">
        <v>2</v>
      </c>
      <c r="C107" t="s">
        <v>209</v>
      </c>
      <c r="D107" t="s">
        <v>316</v>
      </c>
      <c r="E107" t="s">
        <v>677</v>
      </c>
      <c r="F107" t="s">
        <v>1038</v>
      </c>
      <c r="G107">
        <v>0</v>
      </c>
      <c r="H107">
        <v>1</v>
      </c>
      <c r="I107">
        <v>2</v>
      </c>
      <c r="J107">
        <v>0</v>
      </c>
      <c r="K107">
        <v>0</v>
      </c>
      <c r="L107">
        <f t="shared" si="2"/>
        <v>1</v>
      </c>
      <c r="M107">
        <f t="shared" si="3"/>
        <v>1</v>
      </c>
    </row>
    <row r="108" spans="1:13" x14ac:dyDescent="0.3">
      <c r="A108" t="s">
        <v>62</v>
      </c>
      <c r="B108">
        <v>2</v>
      </c>
      <c r="C108" t="s">
        <v>209</v>
      </c>
      <c r="D108" t="s">
        <v>317</v>
      </c>
      <c r="E108" t="s">
        <v>678</v>
      </c>
      <c r="F108" t="s">
        <v>1039</v>
      </c>
      <c r="G108">
        <v>1</v>
      </c>
      <c r="H108">
        <v>1</v>
      </c>
      <c r="I108">
        <v>2</v>
      </c>
      <c r="J108">
        <v>0</v>
      </c>
      <c r="K108">
        <v>0</v>
      </c>
      <c r="L108">
        <f t="shared" si="2"/>
        <v>0</v>
      </c>
      <c r="M108">
        <f t="shared" si="3"/>
        <v>1</v>
      </c>
    </row>
    <row r="109" spans="1:13" x14ac:dyDescent="0.3">
      <c r="A109" t="s">
        <v>63</v>
      </c>
      <c r="B109">
        <v>2</v>
      </c>
      <c r="C109" t="s">
        <v>209</v>
      </c>
      <c r="D109" t="s">
        <v>318</v>
      </c>
      <c r="E109" t="s">
        <v>679</v>
      </c>
      <c r="F109" t="s">
        <v>1040</v>
      </c>
      <c r="G109">
        <v>0</v>
      </c>
      <c r="H109">
        <v>1</v>
      </c>
      <c r="I109">
        <v>2</v>
      </c>
      <c r="J109">
        <v>0</v>
      </c>
      <c r="K109">
        <v>0</v>
      </c>
      <c r="L109">
        <f t="shared" si="2"/>
        <v>1</v>
      </c>
      <c r="M109">
        <f t="shared" si="3"/>
        <v>1</v>
      </c>
    </row>
    <row r="110" spans="1:13" x14ac:dyDescent="0.3">
      <c r="A110" t="s">
        <v>64</v>
      </c>
      <c r="B110">
        <v>2</v>
      </c>
      <c r="C110" t="s">
        <v>209</v>
      </c>
      <c r="D110" t="s">
        <v>319</v>
      </c>
      <c r="E110" t="s">
        <v>680</v>
      </c>
      <c r="F110" t="s">
        <v>1041</v>
      </c>
      <c r="G110">
        <v>0</v>
      </c>
      <c r="H110">
        <v>1</v>
      </c>
      <c r="I110">
        <v>2</v>
      </c>
      <c r="J110">
        <v>0</v>
      </c>
      <c r="K110">
        <v>0</v>
      </c>
      <c r="L110">
        <f t="shared" si="2"/>
        <v>1</v>
      </c>
      <c r="M110">
        <f t="shared" si="3"/>
        <v>1</v>
      </c>
    </row>
    <row r="111" spans="1:13" x14ac:dyDescent="0.3">
      <c r="A111" t="s">
        <v>65</v>
      </c>
      <c r="B111">
        <v>2</v>
      </c>
      <c r="C111" t="s">
        <v>209</v>
      </c>
      <c r="D111" t="s">
        <v>320</v>
      </c>
      <c r="E111" t="s">
        <v>681</v>
      </c>
      <c r="F111" t="s">
        <v>1042</v>
      </c>
      <c r="G111">
        <v>0</v>
      </c>
      <c r="H111">
        <v>1</v>
      </c>
      <c r="I111">
        <v>2</v>
      </c>
      <c r="J111">
        <v>0</v>
      </c>
      <c r="K111">
        <v>0</v>
      </c>
      <c r="L111">
        <f t="shared" si="2"/>
        <v>1</v>
      </c>
      <c r="M111">
        <f t="shared" si="3"/>
        <v>1</v>
      </c>
    </row>
    <row r="112" spans="1:13" x14ac:dyDescent="0.3">
      <c r="A112" t="s">
        <v>66</v>
      </c>
      <c r="B112">
        <v>2</v>
      </c>
      <c r="C112" t="s">
        <v>209</v>
      </c>
      <c r="D112" t="s">
        <v>321</v>
      </c>
      <c r="E112" t="s">
        <v>682</v>
      </c>
      <c r="F112" t="s">
        <v>1043</v>
      </c>
      <c r="G112">
        <v>0</v>
      </c>
      <c r="H112">
        <v>1</v>
      </c>
      <c r="I112">
        <v>2</v>
      </c>
      <c r="J112">
        <v>0</v>
      </c>
      <c r="K112">
        <v>0</v>
      </c>
      <c r="L112">
        <f t="shared" si="2"/>
        <v>1</v>
      </c>
      <c r="M112">
        <f t="shared" si="3"/>
        <v>1</v>
      </c>
    </row>
    <row r="113" spans="1:13" x14ac:dyDescent="0.3">
      <c r="A113" t="s">
        <v>67</v>
      </c>
      <c r="B113">
        <v>2</v>
      </c>
      <c r="C113" t="s">
        <v>209</v>
      </c>
      <c r="D113" t="s">
        <v>322</v>
      </c>
      <c r="E113" t="s">
        <v>683</v>
      </c>
      <c r="F113" t="s">
        <v>1044</v>
      </c>
      <c r="G113">
        <v>0</v>
      </c>
      <c r="H113">
        <v>1</v>
      </c>
      <c r="I113">
        <v>2</v>
      </c>
      <c r="J113">
        <v>0</v>
      </c>
      <c r="K113">
        <v>0</v>
      </c>
      <c r="L113">
        <f t="shared" si="2"/>
        <v>1</v>
      </c>
      <c r="M113">
        <f t="shared" si="3"/>
        <v>1</v>
      </c>
    </row>
    <row r="114" spans="1:13" x14ac:dyDescent="0.3">
      <c r="A114" t="s">
        <v>68</v>
      </c>
      <c r="B114">
        <v>2</v>
      </c>
      <c r="C114" t="s">
        <v>209</v>
      </c>
      <c r="D114" t="s">
        <v>323</v>
      </c>
      <c r="E114" t="s">
        <v>684</v>
      </c>
      <c r="F114" t="s">
        <v>1045</v>
      </c>
      <c r="G114">
        <v>0</v>
      </c>
      <c r="H114">
        <v>1</v>
      </c>
      <c r="I114">
        <v>2</v>
      </c>
      <c r="J114">
        <v>0</v>
      </c>
      <c r="K114">
        <v>0</v>
      </c>
      <c r="L114">
        <f t="shared" si="2"/>
        <v>1</v>
      </c>
      <c r="M114">
        <f t="shared" si="3"/>
        <v>1</v>
      </c>
    </row>
    <row r="115" spans="1:13" x14ac:dyDescent="0.3">
      <c r="A115" t="s">
        <v>69</v>
      </c>
      <c r="B115">
        <v>2</v>
      </c>
      <c r="C115" t="s">
        <v>209</v>
      </c>
      <c r="D115" t="s">
        <v>324</v>
      </c>
      <c r="E115" t="s">
        <v>685</v>
      </c>
      <c r="F115" t="s">
        <v>1046</v>
      </c>
      <c r="G115">
        <v>0</v>
      </c>
      <c r="H115">
        <v>0</v>
      </c>
      <c r="I115">
        <v>1</v>
      </c>
      <c r="J115">
        <v>0</v>
      </c>
      <c r="K115">
        <v>0</v>
      </c>
      <c r="L115">
        <f t="shared" si="2"/>
        <v>1</v>
      </c>
      <c r="M115">
        <f t="shared" si="3"/>
        <v>1</v>
      </c>
    </row>
    <row r="116" spans="1:13" x14ac:dyDescent="0.3">
      <c r="A116" t="s">
        <v>70</v>
      </c>
      <c r="B116">
        <v>2</v>
      </c>
      <c r="C116" t="s">
        <v>209</v>
      </c>
      <c r="D116" t="s">
        <v>325</v>
      </c>
      <c r="E116" t="s">
        <v>686</v>
      </c>
      <c r="F116" t="s">
        <v>1047</v>
      </c>
      <c r="G116">
        <v>0</v>
      </c>
      <c r="H116">
        <v>1</v>
      </c>
      <c r="I116">
        <v>2</v>
      </c>
      <c r="J116">
        <v>0</v>
      </c>
      <c r="K116">
        <v>0</v>
      </c>
      <c r="L116">
        <f t="shared" si="2"/>
        <v>1</v>
      </c>
      <c r="M116">
        <f t="shared" si="3"/>
        <v>1</v>
      </c>
    </row>
    <row r="117" spans="1:13" x14ac:dyDescent="0.3">
      <c r="A117" t="s">
        <v>71</v>
      </c>
      <c r="B117">
        <v>2</v>
      </c>
      <c r="C117" t="s">
        <v>208</v>
      </c>
      <c r="D117" t="s">
        <v>326</v>
      </c>
      <c r="E117" t="s">
        <v>687</v>
      </c>
      <c r="F117" t="s">
        <v>1048</v>
      </c>
      <c r="G117">
        <v>0</v>
      </c>
      <c r="H117">
        <v>1</v>
      </c>
      <c r="I117">
        <v>2</v>
      </c>
      <c r="J117">
        <v>0</v>
      </c>
      <c r="K117">
        <v>0</v>
      </c>
      <c r="L117">
        <f t="shared" si="2"/>
        <v>1</v>
      </c>
      <c r="M117">
        <f t="shared" si="3"/>
        <v>1</v>
      </c>
    </row>
    <row r="118" spans="1:13" x14ac:dyDescent="0.3">
      <c r="A118" t="s">
        <v>71</v>
      </c>
      <c r="B118">
        <v>2</v>
      </c>
      <c r="C118" t="s">
        <v>209</v>
      </c>
      <c r="D118" t="s">
        <v>327</v>
      </c>
      <c r="E118" t="s">
        <v>688</v>
      </c>
      <c r="F118" t="s">
        <v>1049</v>
      </c>
      <c r="G118">
        <v>0</v>
      </c>
      <c r="H118">
        <v>1</v>
      </c>
      <c r="I118">
        <v>2</v>
      </c>
      <c r="J118">
        <v>0</v>
      </c>
      <c r="K118">
        <v>0</v>
      </c>
      <c r="L118">
        <f t="shared" si="2"/>
        <v>1</v>
      </c>
      <c r="M118">
        <f t="shared" si="3"/>
        <v>1</v>
      </c>
    </row>
    <row r="119" spans="1:13" x14ac:dyDescent="0.3">
      <c r="A119" t="s">
        <v>72</v>
      </c>
      <c r="B119">
        <v>2</v>
      </c>
      <c r="C119" t="s">
        <v>208</v>
      </c>
      <c r="D119" t="s">
        <v>328</v>
      </c>
      <c r="E119" t="s">
        <v>689</v>
      </c>
      <c r="F119" t="s">
        <v>1050</v>
      </c>
      <c r="G119">
        <v>0</v>
      </c>
      <c r="H119">
        <v>1</v>
      </c>
      <c r="I119">
        <v>2</v>
      </c>
      <c r="J119">
        <v>0</v>
      </c>
      <c r="K119">
        <v>0</v>
      </c>
      <c r="L119">
        <f t="shared" si="2"/>
        <v>1</v>
      </c>
      <c r="M119">
        <f t="shared" si="3"/>
        <v>1</v>
      </c>
    </row>
    <row r="120" spans="1:13" x14ac:dyDescent="0.3">
      <c r="A120" t="s">
        <v>72</v>
      </c>
      <c r="B120">
        <v>2</v>
      </c>
      <c r="C120" t="s">
        <v>209</v>
      </c>
      <c r="D120" t="s">
        <v>329</v>
      </c>
      <c r="E120" t="s">
        <v>690</v>
      </c>
      <c r="F120" t="s">
        <v>1051</v>
      </c>
      <c r="G120">
        <v>0</v>
      </c>
      <c r="H120">
        <v>1</v>
      </c>
      <c r="I120">
        <v>2</v>
      </c>
      <c r="J120">
        <v>0</v>
      </c>
      <c r="K120">
        <v>0</v>
      </c>
      <c r="L120">
        <f t="shared" si="2"/>
        <v>1</v>
      </c>
      <c r="M120">
        <f t="shared" si="3"/>
        <v>1</v>
      </c>
    </row>
    <row r="121" spans="1:13" x14ac:dyDescent="0.3">
      <c r="A121" t="s">
        <v>73</v>
      </c>
      <c r="B121">
        <v>2</v>
      </c>
      <c r="C121" t="s">
        <v>208</v>
      </c>
      <c r="D121" t="s">
        <v>330</v>
      </c>
      <c r="E121" t="s">
        <v>691</v>
      </c>
      <c r="F121" t="s">
        <v>1052</v>
      </c>
      <c r="G121">
        <v>4</v>
      </c>
      <c r="H121">
        <v>10</v>
      </c>
      <c r="I121">
        <v>4</v>
      </c>
      <c r="J121">
        <v>4</v>
      </c>
      <c r="K121">
        <v>9</v>
      </c>
      <c r="L121">
        <f t="shared" si="2"/>
        <v>0</v>
      </c>
      <c r="M121">
        <f t="shared" si="3"/>
        <v>0</v>
      </c>
    </row>
    <row r="122" spans="1:13" x14ac:dyDescent="0.3">
      <c r="A122" t="s">
        <v>73</v>
      </c>
      <c r="B122">
        <v>2</v>
      </c>
      <c r="C122" t="s">
        <v>209</v>
      </c>
      <c r="D122" t="s">
        <v>331</v>
      </c>
      <c r="E122" t="s">
        <v>692</v>
      </c>
      <c r="F122" t="s">
        <v>1053</v>
      </c>
      <c r="G122">
        <v>0</v>
      </c>
      <c r="H122">
        <v>1</v>
      </c>
      <c r="I122">
        <v>2</v>
      </c>
      <c r="J122">
        <v>0</v>
      </c>
      <c r="K122">
        <v>0</v>
      </c>
      <c r="L122">
        <f t="shared" si="2"/>
        <v>1</v>
      </c>
      <c r="M122">
        <f t="shared" si="3"/>
        <v>1</v>
      </c>
    </row>
    <row r="123" spans="1:13" x14ac:dyDescent="0.3">
      <c r="A123" t="s">
        <v>74</v>
      </c>
      <c r="B123">
        <v>2</v>
      </c>
      <c r="C123" t="s">
        <v>208</v>
      </c>
      <c r="D123" t="s">
        <v>332</v>
      </c>
      <c r="E123" t="s">
        <v>693</v>
      </c>
      <c r="F123" t="s">
        <v>1054</v>
      </c>
      <c r="G123">
        <v>0</v>
      </c>
      <c r="H123">
        <v>1</v>
      </c>
      <c r="I123">
        <v>2</v>
      </c>
      <c r="J123">
        <v>0</v>
      </c>
      <c r="K123">
        <v>0</v>
      </c>
      <c r="L123">
        <f t="shared" si="2"/>
        <v>1</v>
      </c>
      <c r="M123">
        <f t="shared" si="3"/>
        <v>1</v>
      </c>
    </row>
    <row r="124" spans="1:13" x14ac:dyDescent="0.3">
      <c r="A124" t="s">
        <v>74</v>
      </c>
      <c r="B124">
        <v>2</v>
      </c>
      <c r="C124" t="s">
        <v>209</v>
      </c>
      <c r="D124" t="s">
        <v>333</v>
      </c>
      <c r="E124" t="s">
        <v>694</v>
      </c>
      <c r="F124" t="s">
        <v>1055</v>
      </c>
      <c r="G124">
        <v>0</v>
      </c>
      <c r="H124">
        <v>1</v>
      </c>
      <c r="I124">
        <v>2</v>
      </c>
      <c r="J124">
        <v>0</v>
      </c>
      <c r="K124">
        <v>0</v>
      </c>
      <c r="L124">
        <f t="shared" si="2"/>
        <v>1</v>
      </c>
      <c r="M124">
        <f t="shared" si="3"/>
        <v>1</v>
      </c>
    </row>
    <row r="125" spans="1:13" x14ac:dyDescent="0.3">
      <c r="A125" t="s">
        <v>75</v>
      </c>
      <c r="B125">
        <v>2</v>
      </c>
      <c r="C125" t="s">
        <v>208</v>
      </c>
      <c r="D125" t="s">
        <v>334</v>
      </c>
      <c r="E125" t="s">
        <v>695</v>
      </c>
      <c r="F125" t="s">
        <v>1056</v>
      </c>
      <c r="G125">
        <v>0</v>
      </c>
      <c r="H125">
        <v>0</v>
      </c>
      <c r="I125">
        <v>1</v>
      </c>
      <c r="J125">
        <v>1</v>
      </c>
      <c r="K125">
        <v>1</v>
      </c>
      <c r="L125">
        <f t="shared" si="2"/>
        <v>1</v>
      </c>
      <c r="M125">
        <f t="shared" si="3"/>
        <v>1</v>
      </c>
    </row>
    <row r="126" spans="1:13" x14ac:dyDescent="0.3">
      <c r="A126" t="s">
        <v>75</v>
      </c>
      <c r="B126">
        <v>2</v>
      </c>
      <c r="C126" t="s">
        <v>209</v>
      </c>
      <c r="D126" t="s">
        <v>335</v>
      </c>
      <c r="E126" t="s">
        <v>696</v>
      </c>
      <c r="F126" t="s">
        <v>1057</v>
      </c>
      <c r="G126">
        <v>0</v>
      </c>
      <c r="H126">
        <v>0</v>
      </c>
      <c r="I126">
        <v>1</v>
      </c>
      <c r="J126">
        <v>1</v>
      </c>
      <c r="K126">
        <v>1</v>
      </c>
      <c r="L126">
        <f t="shared" si="2"/>
        <v>1</v>
      </c>
      <c r="M126">
        <f t="shared" si="3"/>
        <v>1</v>
      </c>
    </row>
    <row r="127" spans="1:13" x14ac:dyDescent="0.3">
      <c r="A127" t="s">
        <v>76</v>
      </c>
      <c r="B127">
        <v>2</v>
      </c>
      <c r="C127" t="s">
        <v>208</v>
      </c>
      <c r="D127" t="s">
        <v>336</v>
      </c>
      <c r="E127" t="s">
        <v>697</v>
      </c>
      <c r="F127" t="s">
        <v>1058</v>
      </c>
      <c r="G127">
        <v>0</v>
      </c>
      <c r="H127">
        <v>0</v>
      </c>
      <c r="I127">
        <v>1</v>
      </c>
      <c r="J127">
        <v>0</v>
      </c>
      <c r="K127">
        <v>0</v>
      </c>
      <c r="L127">
        <f t="shared" si="2"/>
        <v>1</v>
      </c>
      <c r="M127">
        <f t="shared" si="3"/>
        <v>1</v>
      </c>
    </row>
    <row r="128" spans="1:13" x14ac:dyDescent="0.3">
      <c r="A128" t="s">
        <v>76</v>
      </c>
      <c r="B128">
        <v>2</v>
      </c>
      <c r="C128" t="s">
        <v>209</v>
      </c>
      <c r="D128" t="s">
        <v>337</v>
      </c>
      <c r="E128" t="s">
        <v>698</v>
      </c>
      <c r="F128" t="s">
        <v>1059</v>
      </c>
      <c r="G128">
        <v>0</v>
      </c>
      <c r="H128">
        <v>0</v>
      </c>
      <c r="I128">
        <v>1</v>
      </c>
      <c r="J128">
        <v>0</v>
      </c>
      <c r="K128">
        <v>0</v>
      </c>
      <c r="L128">
        <f t="shared" si="2"/>
        <v>1</v>
      </c>
      <c r="M128">
        <f t="shared" si="3"/>
        <v>1</v>
      </c>
    </row>
    <row r="129" spans="1:13" x14ac:dyDescent="0.3">
      <c r="A129" t="s">
        <v>77</v>
      </c>
      <c r="B129">
        <v>2</v>
      </c>
      <c r="C129" t="s">
        <v>208</v>
      </c>
      <c r="D129" t="s">
        <v>338</v>
      </c>
      <c r="E129" t="s">
        <v>699</v>
      </c>
      <c r="F129" t="s">
        <v>1060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f t="shared" si="2"/>
        <v>1</v>
      </c>
      <c r="M129">
        <f t="shared" si="3"/>
        <v>1</v>
      </c>
    </row>
    <row r="130" spans="1:13" x14ac:dyDescent="0.3">
      <c r="A130" t="s">
        <v>77</v>
      </c>
      <c r="B130">
        <v>2</v>
      </c>
      <c r="C130" t="s">
        <v>209</v>
      </c>
      <c r="D130" t="s">
        <v>339</v>
      </c>
      <c r="E130" t="s">
        <v>700</v>
      </c>
      <c r="F130" t="s">
        <v>1061</v>
      </c>
      <c r="G130">
        <v>0</v>
      </c>
      <c r="H130">
        <v>0</v>
      </c>
      <c r="I130">
        <v>1</v>
      </c>
      <c r="J130">
        <v>0</v>
      </c>
      <c r="K130">
        <v>0</v>
      </c>
      <c r="L130">
        <f t="shared" si="2"/>
        <v>1</v>
      </c>
      <c r="M130">
        <f t="shared" si="3"/>
        <v>1</v>
      </c>
    </row>
    <row r="131" spans="1:13" x14ac:dyDescent="0.3">
      <c r="A131" t="s">
        <v>78</v>
      </c>
      <c r="B131">
        <v>2</v>
      </c>
      <c r="C131" t="s">
        <v>208</v>
      </c>
      <c r="D131" t="s">
        <v>340</v>
      </c>
      <c r="E131" t="s">
        <v>701</v>
      </c>
      <c r="F131" t="s">
        <v>1062</v>
      </c>
      <c r="G131">
        <v>0</v>
      </c>
      <c r="H131">
        <v>0</v>
      </c>
      <c r="I131">
        <v>1</v>
      </c>
      <c r="J131">
        <v>1</v>
      </c>
      <c r="K131">
        <v>0</v>
      </c>
      <c r="L131">
        <f t="shared" ref="L131:L194" si="4">IF(G131=0,1,0)</f>
        <v>1</v>
      </c>
      <c r="M131">
        <f t="shared" ref="M131:M194" si="5">IF(K131&lt;4,1,0)</f>
        <v>1</v>
      </c>
    </row>
    <row r="132" spans="1:13" x14ac:dyDescent="0.3">
      <c r="A132" t="s">
        <v>78</v>
      </c>
      <c r="B132">
        <v>2</v>
      </c>
      <c r="C132" t="s">
        <v>209</v>
      </c>
      <c r="D132" t="s">
        <v>341</v>
      </c>
      <c r="E132" t="s">
        <v>702</v>
      </c>
      <c r="F132" t="s">
        <v>1063</v>
      </c>
      <c r="G132">
        <v>0</v>
      </c>
      <c r="H132">
        <v>0</v>
      </c>
      <c r="I132">
        <v>1</v>
      </c>
      <c r="J132">
        <v>1</v>
      </c>
      <c r="K132">
        <v>0</v>
      </c>
      <c r="L132">
        <f t="shared" si="4"/>
        <v>1</v>
      </c>
      <c r="M132">
        <f t="shared" si="5"/>
        <v>1</v>
      </c>
    </row>
    <row r="133" spans="1:13" x14ac:dyDescent="0.3">
      <c r="A133" t="s">
        <v>79</v>
      </c>
      <c r="B133">
        <v>2</v>
      </c>
      <c r="C133" t="s">
        <v>208</v>
      </c>
      <c r="D133" t="s">
        <v>342</v>
      </c>
      <c r="E133" t="s">
        <v>703</v>
      </c>
      <c r="F133" t="s">
        <v>1064</v>
      </c>
      <c r="G133">
        <v>0</v>
      </c>
      <c r="H133">
        <v>1</v>
      </c>
      <c r="I133">
        <v>1</v>
      </c>
      <c r="J133">
        <v>0</v>
      </c>
      <c r="K133">
        <v>0</v>
      </c>
      <c r="L133">
        <f t="shared" si="4"/>
        <v>1</v>
      </c>
      <c r="M133">
        <f t="shared" si="5"/>
        <v>1</v>
      </c>
    </row>
    <row r="134" spans="1:13" x14ac:dyDescent="0.3">
      <c r="A134" t="s">
        <v>79</v>
      </c>
      <c r="B134">
        <v>2</v>
      </c>
      <c r="C134" t="s">
        <v>209</v>
      </c>
      <c r="D134" t="s">
        <v>343</v>
      </c>
      <c r="E134" t="s">
        <v>704</v>
      </c>
      <c r="F134" t="s">
        <v>1065</v>
      </c>
      <c r="G134">
        <v>4</v>
      </c>
      <c r="H134">
        <v>3</v>
      </c>
      <c r="I134">
        <v>3</v>
      </c>
      <c r="J134">
        <v>0</v>
      </c>
      <c r="K134">
        <v>0</v>
      </c>
      <c r="L134">
        <f t="shared" si="4"/>
        <v>0</v>
      </c>
      <c r="M134">
        <f t="shared" si="5"/>
        <v>1</v>
      </c>
    </row>
    <row r="135" spans="1:13" x14ac:dyDescent="0.3">
      <c r="A135" t="s">
        <v>80</v>
      </c>
      <c r="B135">
        <v>2</v>
      </c>
      <c r="C135" t="s">
        <v>209</v>
      </c>
      <c r="D135" t="s">
        <v>344</v>
      </c>
      <c r="E135" t="s">
        <v>705</v>
      </c>
      <c r="F135" t="s">
        <v>1066</v>
      </c>
      <c r="G135">
        <v>0</v>
      </c>
      <c r="H135">
        <v>0</v>
      </c>
      <c r="I135">
        <v>1</v>
      </c>
      <c r="J135">
        <v>0</v>
      </c>
      <c r="K135">
        <v>0</v>
      </c>
      <c r="L135">
        <f t="shared" si="4"/>
        <v>1</v>
      </c>
      <c r="M135">
        <f t="shared" si="5"/>
        <v>1</v>
      </c>
    </row>
    <row r="136" spans="1:13" x14ac:dyDescent="0.3">
      <c r="A136" t="s">
        <v>81</v>
      </c>
      <c r="B136">
        <v>2</v>
      </c>
      <c r="C136" t="s">
        <v>208</v>
      </c>
      <c r="D136" t="s">
        <v>345</v>
      </c>
      <c r="E136" t="s">
        <v>706</v>
      </c>
      <c r="F136" t="s">
        <v>1067</v>
      </c>
      <c r="G136">
        <v>0</v>
      </c>
      <c r="H136">
        <v>1</v>
      </c>
      <c r="I136">
        <v>1</v>
      </c>
      <c r="J136">
        <v>2</v>
      </c>
      <c r="K136">
        <v>2</v>
      </c>
      <c r="L136">
        <f t="shared" si="4"/>
        <v>1</v>
      </c>
      <c r="M136">
        <f t="shared" si="5"/>
        <v>1</v>
      </c>
    </row>
    <row r="137" spans="1:13" x14ac:dyDescent="0.3">
      <c r="A137" t="s">
        <v>81</v>
      </c>
      <c r="B137">
        <v>2</v>
      </c>
      <c r="C137" t="s">
        <v>209</v>
      </c>
      <c r="D137" t="s">
        <v>346</v>
      </c>
      <c r="E137" t="s">
        <v>707</v>
      </c>
      <c r="F137" t="s">
        <v>1068</v>
      </c>
      <c r="G137">
        <v>0</v>
      </c>
      <c r="H137">
        <v>1</v>
      </c>
      <c r="I137">
        <v>1</v>
      </c>
      <c r="J137">
        <v>2</v>
      </c>
      <c r="K137">
        <v>2</v>
      </c>
      <c r="L137">
        <f t="shared" si="4"/>
        <v>1</v>
      </c>
      <c r="M137">
        <f t="shared" si="5"/>
        <v>1</v>
      </c>
    </row>
    <row r="138" spans="1:13" x14ac:dyDescent="0.3">
      <c r="A138" t="s">
        <v>82</v>
      </c>
      <c r="B138">
        <v>2</v>
      </c>
      <c r="C138" t="s">
        <v>208</v>
      </c>
      <c r="D138" t="s">
        <v>347</v>
      </c>
      <c r="E138" t="s">
        <v>708</v>
      </c>
      <c r="F138" t="s">
        <v>1069</v>
      </c>
      <c r="G138">
        <v>0</v>
      </c>
      <c r="H138">
        <v>0</v>
      </c>
      <c r="I138">
        <v>1</v>
      </c>
      <c r="J138">
        <v>1</v>
      </c>
      <c r="K138">
        <v>0</v>
      </c>
      <c r="L138">
        <f t="shared" si="4"/>
        <v>1</v>
      </c>
      <c r="M138">
        <f t="shared" si="5"/>
        <v>1</v>
      </c>
    </row>
    <row r="139" spans="1:13" x14ac:dyDescent="0.3">
      <c r="A139" t="s">
        <v>82</v>
      </c>
      <c r="B139">
        <v>2</v>
      </c>
      <c r="C139" t="s">
        <v>209</v>
      </c>
      <c r="D139" t="s">
        <v>348</v>
      </c>
      <c r="E139" t="s">
        <v>709</v>
      </c>
      <c r="F139" t="s">
        <v>1070</v>
      </c>
      <c r="G139">
        <v>0</v>
      </c>
      <c r="H139">
        <v>0</v>
      </c>
      <c r="I139">
        <v>1</v>
      </c>
      <c r="J139">
        <v>1</v>
      </c>
      <c r="K139">
        <v>0</v>
      </c>
      <c r="L139">
        <f t="shared" si="4"/>
        <v>1</v>
      </c>
      <c r="M139">
        <f t="shared" si="5"/>
        <v>1</v>
      </c>
    </row>
    <row r="140" spans="1:13" x14ac:dyDescent="0.3">
      <c r="A140" t="s">
        <v>83</v>
      </c>
      <c r="B140">
        <v>2</v>
      </c>
      <c r="C140" t="s">
        <v>208</v>
      </c>
      <c r="D140" t="s">
        <v>349</v>
      </c>
      <c r="E140" t="s">
        <v>710</v>
      </c>
      <c r="F140" t="s">
        <v>1071</v>
      </c>
      <c r="G140">
        <v>0</v>
      </c>
      <c r="H140">
        <v>0</v>
      </c>
      <c r="I140">
        <v>1</v>
      </c>
      <c r="J140">
        <v>0</v>
      </c>
      <c r="K140">
        <v>0</v>
      </c>
      <c r="L140">
        <f t="shared" si="4"/>
        <v>1</v>
      </c>
      <c r="M140">
        <f t="shared" si="5"/>
        <v>1</v>
      </c>
    </row>
    <row r="141" spans="1:13" x14ac:dyDescent="0.3">
      <c r="A141" t="s">
        <v>83</v>
      </c>
      <c r="B141">
        <v>2</v>
      </c>
      <c r="C141" t="s">
        <v>209</v>
      </c>
      <c r="D141" t="s">
        <v>350</v>
      </c>
      <c r="E141" t="s">
        <v>711</v>
      </c>
      <c r="F141" t="s">
        <v>1072</v>
      </c>
      <c r="G141">
        <v>0</v>
      </c>
      <c r="H141">
        <v>0</v>
      </c>
      <c r="I141">
        <v>1</v>
      </c>
      <c r="J141">
        <v>0</v>
      </c>
      <c r="K141">
        <v>0</v>
      </c>
      <c r="L141">
        <f t="shared" si="4"/>
        <v>1</v>
      </c>
      <c r="M141">
        <f t="shared" si="5"/>
        <v>1</v>
      </c>
    </row>
    <row r="142" spans="1:13" x14ac:dyDescent="0.3">
      <c r="A142" t="s">
        <v>84</v>
      </c>
      <c r="B142">
        <v>2</v>
      </c>
      <c r="C142" t="s">
        <v>208</v>
      </c>
      <c r="D142" t="s">
        <v>351</v>
      </c>
      <c r="E142" t="s">
        <v>712</v>
      </c>
      <c r="F142" t="s">
        <v>1073</v>
      </c>
      <c r="G142">
        <v>0</v>
      </c>
      <c r="H142">
        <v>0</v>
      </c>
      <c r="I142">
        <v>1</v>
      </c>
      <c r="J142">
        <v>1</v>
      </c>
      <c r="K142">
        <v>0</v>
      </c>
      <c r="L142">
        <f t="shared" si="4"/>
        <v>1</v>
      </c>
      <c r="M142">
        <f t="shared" si="5"/>
        <v>1</v>
      </c>
    </row>
    <row r="143" spans="1:13" x14ac:dyDescent="0.3">
      <c r="A143" t="s">
        <v>84</v>
      </c>
      <c r="B143">
        <v>2</v>
      </c>
      <c r="C143" t="s">
        <v>209</v>
      </c>
      <c r="D143" t="s">
        <v>352</v>
      </c>
      <c r="E143" t="s">
        <v>713</v>
      </c>
      <c r="F143" t="s">
        <v>1074</v>
      </c>
      <c r="G143">
        <v>0</v>
      </c>
      <c r="H143">
        <v>0</v>
      </c>
      <c r="I143">
        <v>1</v>
      </c>
      <c r="J143">
        <v>1</v>
      </c>
      <c r="K143">
        <v>0</v>
      </c>
      <c r="L143">
        <f t="shared" si="4"/>
        <v>1</v>
      </c>
      <c r="M143">
        <f t="shared" si="5"/>
        <v>1</v>
      </c>
    </row>
    <row r="144" spans="1:13" x14ac:dyDescent="0.3">
      <c r="A144" t="s">
        <v>85</v>
      </c>
      <c r="B144">
        <v>2</v>
      </c>
      <c r="C144" t="s">
        <v>208</v>
      </c>
      <c r="D144" t="s">
        <v>353</v>
      </c>
      <c r="E144" t="s">
        <v>714</v>
      </c>
      <c r="F144" t="s">
        <v>1075</v>
      </c>
      <c r="G144">
        <v>0</v>
      </c>
      <c r="H144">
        <v>0</v>
      </c>
      <c r="I144">
        <v>1</v>
      </c>
      <c r="J144">
        <v>0</v>
      </c>
      <c r="K144">
        <v>0</v>
      </c>
      <c r="L144">
        <f t="shared" si="4"/>
        <v>1</v>
      </c>
      <c r="M144">
        <f t="shared" si="5"/>
        <v>1</v>
      </c>
    </row>
    <row r="145" spans="1:13" x14ac:dyDescent="0.3">
      <c r="A145" t="s">
        <v>85</v>
      </c>
      <c r="B145">
        <v>2</v>
      </c>
      <c r="C145" t="s">
        <v>209</v>
      </c>
      <c r="D145" t="s">
        <v>354</v>
      </c>
      <c r="E145" t="s">
        <v>715</v>
      </c>
      <c r="F145" t="s">
        <v>1076</v>
      </c>
      <c r="G145">
        <v>0</v>
      </c>
      <c r="H145">
        <v>0</v>
      </c>
      <c r="I145">
        <v>1</v>
      </c>
      <c r="J145">
        <v>0</v>
      </c>
      <c r="K145">
        <v>0</v>
      </c>
      <c r="L145">
        <f t="shared" si="4"/>
        <v>1</v>
      </c>
      <c r="M145">
        <f t="shared" si="5"/>
        <v>1</v>
      </c>
    </row>
    <row r="146" spans="1:13" x14ac:dyDescent="0.3">
      <c r="A146" t="s">
        <v>86</v>
      </c>
      <c r="B146">
        <v>2</v>
      </c>
      <c r="C146" t="s">
        <v>208</v>
      </c>
      <c r="D146" t="s">
        <v>355</v>
      </c>
      <c r="E146" t="s">
        <v>716</v>
      </c>
      <c r="F146" t="s">
        <v>1077</v>
      </c>
      <c r="G146">
        <v>0</v>
      </c>
      <c r="H146">
        <v>0</v>
      </c>
      <c r="I146">
        <v>1</v>
      </c>
      <c r="J146">
        <v>1</v>
      </c>
      <c r="K146">
        <v>0</v>
      </c>
      <c r="L146">
        <f t="shared" si="4"/>
        <v>1</v>
      </c>
      <c r="M146">
        <f t="shared" si="5"/>
        <v>1</v>
      </c>
    </row>
    <row r="147" spans="1:13" x14ac:dyDescent="0.3">
      <c r="A147" t="s">
        <v>86</v>
      </c>
      <c r="B147">
        <v>2</v>
      </c>
      <c r="C147" t="s">
        <v>209</v>
      </c>
      <c r="D147" t="s">
        <v>356</v>
      </c>
      <c r="E147" t="s">
        <v>717</v>
      </c>
      <c r="F147" t="s">
        <v>1078</v>
      </c>
      <c r="G147">
        <v>0</v>
      </c>
      <c r="H147">
        <v>0</v>
      </c>
      <c r="I147">
        <v>1</v>
      </c>
      <c r="J147">
        <v>1</v>
      </c>
      <c r="K147">
        <v>0</v>
      </c>
      <c r="L147">
        <f t="shared" si="4"/>
        <v>1</v>
      </c>
      <c r="M147">
        <f t="shared" si="5"/>
        <v>1</v>
      </c>
    </row>
    <row r="148" spans="1:13" x14ac:dyDescent="0.3">
      <c r="A148" t="s">
        <v>87</v>
      </c>
      <c r="B148">
        <v>2</v>
      </c>
      <c r="C148" t="s">
        <v>208</v>
      </c>
      <c r="D148" t="s">
        <v>357</v>
      </c>
      <c r="E148" t="s">
        <v>718</v>
      </c>
      <c r="F148" t="s">
        <v>1079</v>
      </c>
      <c r="G148">
        <v>0</v>
      </c>
      <c r="H148">
        <v>0</v>
      </c>
      <c r="I148">
        <v>1</v>
      </c>
      <c r="J148">
        <v>0</v>
      </c>
      <c r="K148">
        <v>0</v>
      </c>
      <c r="L148">
        <f t="shared" si="4"/>
        <v>1</v>
      </c>
      <c r="M148">
        <f t="shared" si="5"/>
        <v>1</v>
      </c>
    </row>
    <row r="149" spans="1:13" x14ac:dyDescent="0.3">
      <c r="A149" t="s">
        <v>87</v>
      </c>
      <c r="B149">
        <v>2</v>
      </c>
      <c r="C149" t="s">
        <v>209</v>
      </c>
      <c r="D149" t="s">
        <v>358</v>
      </c>
      <c r="E149" t="s">
        <v>719</v>
      </c>
      <c r="F149" t="s">
        <v>1080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f t="shared" si="4"/>
        <v>1</v>
      </c>
      <c r="M149">
        <f t="shared" si="5"/>
        <v>1</v>
      </c>
    </row>
    <row r="150" spans="1:13" x14ac:dyDescent="0.3">
      <c r="A150" t="s">
        <v>88</v>
      </c>
      <c r="B150">
        <v>2</v>
      </c>
      <c r="C150" t="s">
        <v>208</v>
      </c>
      <c r="D150" t="s">
        <v>359</v>
      </c>
      <c r="E150" t="s">
        <v>720</v>
      </c>
      <c r="F150" t="s">
        <v>1081</v>
      </c>
      <c r="G150">
        <v>3</v>
      </c>
      <c r="H150">
        <v>2</v>
      </c>
      <c r="I150">
        <v>3</v>
      </c>
      <c r="J150">
        <v>3</v>
      </c>
      <c r="K150">
        <v>10</v>
      </c>
      <c r="L150">
        <f t="shared" si="4"/>
        <v>0</v>
      </c>
      <c r="M150">
        <f t="shared" si="5"/>
        <v>0</v>
      </c>
    </row>
    <row r="151" spans="1:13" x14ac:dyDescent="0.3">
      <c r="A151" t="s">
        <v>88</v>
      </c>
      <c r="B151">
        <v>2</v>
      </c>
      <c r="C151" t="s">
        <v>209</v>
      </c>
      <c r="D151" t="s">
        <v>360</v>
      </c>
      <c r="E151" t="s">
        <v>721</v>
      </c>
      <c r="F151" t="s">
        <v>1082</v>
      </c>
      <c r="G151">
        <v>0</v>
      </c>
      <c r="H151">
        <v>0</v>
      </c>
      <c r="I151">
        <v>1</v>
      </c>
      <c r="J151">
        <v>0</v>
      </c>
      <c r="K151">
        <v>0</v>
      </c>
      <c r="L151">
        <f t="shared" si="4"/>
        <v>1</v>
      </c>
      <c r="M151">
        <f t="shared" si="5"/>
        <v>1</v>
      </c>
    </row>
    <row r="152" spans="1:13" x14ac:dyDescent="0.3">
      <c r="A152" t="s">
        <v>89</v>
      </c>
      <c r="B152">
        <v>2</v>
      </c>
      <c r="C152" t="s">
        <v>208</v>
      </c>
      <c r="D152" t="s">
        <v>361</v>
      </c>
      <c r="E152" t="s">
        <v>722</v>
      </c>
      <c r="F152" t="s">
        <v>1083</v>
      </c>
      <c r="G152">
        <v>2</v>
      </c>
      <c r="H152">
        <v>1</v>
      </c>
      <c r="I152">
        <v>3</v>
      </c>
      <c r="J152">
        <v>0</v>
      </c>
      <c r="K152">
        <v>0</v>
      </c>
      <c r="L152">
        <f t="shared" si="4"/>
        <v>0</v>
      </c>
      <c r="M152">
        <f t="shared" si="5"/>
        <v>1</v>
      </c>
    </row>
    <row r="153" spans="1:13" x14ac:dyDescent="0.3">
      <c r="A153" t="s">
        <v>89</v>
      </c>
      <c r="B153">
        <v>2</v>
      </c>
      <c r="C153" t="s">
        <v>209</v>
      </c>
      <c r="D153" t="s">
        <v>362</v>
      </c>
      <c r="E153" t="s">
        <v>723</v>
      </c>
      <c r="F153" t="s">
        <v>1084</v>
      </c>
      <c r="G153">
        <v>2</v>
      </c>
      <c r="H153">
        <v>0</v>
      </c>
      <c r="I153">
        <v>1</v>
      </c>
      <c r="J153">
        <v>0</v>
      </c>
      <c r="K153">
        <v>0</v>
      </c>
      <c r="L153">
        <f t="shared" si="4"/>
        <v>0</v>
      </c>
      <c r="M153">
        <f t="shared" si="5"/>
        <v>1</v>
      </c>
    </row>
    <row r="154" spans="1:13" x14ac:dyDescent="0.3">
      <c r="A154" t="s">
        <v>90</v>
      </c>
      <c r="B154">
        <v>3</v>
      </c>
      <c r="C154" t="s">
        <v>208</v>
      </c>
      <c r="D154" t="s">
        <v>363</v>
      </c>
      <c r="E154" t="s">
        <v>724</v>
      </c>
      <c r="F154" t="s">
        <v>1085</v>
      </c>
      <c r="G154">
        <v>0</v>
      </c>
      <c r="H154">
        <v>1</v>
      </c>
      <c r="I154">
        <v>1</v>
      </c>
      <c r="J154">
        <v>0</v>
      </c>
      <c r="K154">
        <v>2</v>
      </c>
      <c r="L154">
        <f t="shared" si="4"/>
        <v>1</v>
      </c>
      <c r="M154">
        <f t="shared" si="5"/>
        <v>1</v>
      </c>
    </row>
    <row r="155" spans="1:13" x14ac:dyDescent="0.3">
      <c r="A155" t="s">
        <v>90</v>
      </c>
      <c r="B155">
        <v>3</v>
      </c>
      <c r="C155" t="s">
        <v>209</v>
      </c>
      <c r="D155" t="s">
        <v>364</v>
      </c>
      <c r="E155" t="s">
        <v>725</v>
      </c>
      <c r="F155" t="s">
        <v>1086</v>
      </c>
      <c r="G155">
        <v>0</v>
      </c>
      <c r="H155">
        <v>1</v>
      </c>
      <c r="I155">
        <v>1</v>
      </c>
      <c r="J155">
        <v>0</v>
      </c>
      <c r="K155">
        <v>0</v>
      </c>
      <c r="L155">
        <f t="shared" si="4"/>
        <v>1</v>
      </c>
      <c r="M155">
        <f t="shared" si="5"/>
        <v>1</v>
      </c>
    </row>
    <row r="156" spans="1:13" x14ac:dyDescent="0.3">
      <c r="A156" t="s">
        <v>91</v>
      </c>
      <c r="B156">
        <v>3</v>
      </c>
      <c r="C156" t="s">
        <v>208</v>
      </c>
      <c r="D156" t="s">
        <v>365</v>
      </c>
      <c r="E156" t="s">
        <v>726</v>
      </c>
      <c r="F156" t="s">
        <v>1087</v>
      </c>
      <c r="G156">
        <v>0</v>
      </c>
      <c r="H156">
        <v>1</v>
      </c>
      <c r="I156">
        <v>1</v>
      </c>
      <c r="J156">
        <v>0</v>
      </c>
      <c r="K156">
        <v>2</v>
      </c>
      <c r="L156">
        <f t="shared" si="4"/>
        <v>1</v>
      </c>
      <c r="M156">
        <f t="shared" si="5"/>
        <v>1</v>
      </c>
    </row>
    <row r="157" spans="1:13" x14ac:dyDescent="0.3">
      <c r="A157" t="s">
        <v>91</v>
      </c>
      <c r="B157">
        <v>3</v>
      </c>
      <c r="C157" t="s">
        <v>209</v>
      </c>
      <c r="D157" t="s">
        <v>366</v>
      </c>
      <c r="E157" t="s">
        <v>727</v>
      </c>
      <c r="F157" t="s">
        <v>1088</v>
      </c>
      <c r="G157">
        <v>0</v>
      </c>
      <c r="H157">
        <v>2</v>
      </c>
      <c r="I157">
        <v>1</v>
      </c>
      <c r="J157">
        <v>0</v>
      </c>
      <c r="K157">
        <v>2</v>
      </c>
      <c r="L157">
        <f t="shared" si="4"/>
        <v>1</v>
      </c>
      <c r="M157">
        <f t="shared" si="5"/>
        <v>1</v>
      </c>
    </row>
    <row r="158" spans="1:13" x14ac:dyDescent="0.3">
      <c r="A158" t="s">
        <v>92</v>
      </c>
      <c r="B158">
        <v>3</v>
      </c>
      <c r="C158" t="s">
        <v>208</v>
      </c>
      <c r="D158" t="s">
        <v>367</v>
      </c>
      <c r="E158" t="s">
        <v>728</v>
      </c>
      <c r="F158" t="s">
        <v>1089</v>
      </c>
      <c r="G158">
        <v>0</v>
      </c>
      <c r="H158">
        <v>1</v>
      </c>
      <c r="I158">
        <v>1</v>
      </c>
      <c r="J158">
        <v>1</v>
      </c>
      <c r="K158">
        <v>0</v>
      </c>
      <c r="L158">
        <f t="shared" si="4"/>
        <v>1</v>
      </c>
      <c r="M158">
        <f t="shared" si="5"/>
        <v>1</v>
      </c>
    </row>
    <row r="159" spans="1:13" x14ac:dyDescent="0.3">
      <c r="A159" t="s">
        <v>92</v>
      </c>
      <c r="B159">
        <v>3</v>
      </c>
      <c r="C159" t="s">
        <v>209</v>
      </c>
      <c r="D159" t="s">
        <v>368</v>
      </c>
      <c r="E159" t="s">
        <v>729</v>
      </c>
      <c r="F159" t="s">
        <v>1090</v>
      </c>
      <c r="G159">
        <v>0</v>
      </c>
      <c r="H159">
        <v>1</v>
      </c>
      <c r="I159">
        <v>1</v>
      </c>
      <c r="J159">
        <v>1</v>
      </c>
      <c r="K159">
        <v>0</v>
      </c>
      <c r="L159">
        <f t="shared" si="4"/>
        <v>1</v>
      </c>
      <c r="M159">
        <f t="shared" si="5"/>
        <v>1</v>
      </c>
    </row>
    <row r="160" spans="1:13" x14ac:dyDescent="0.3">
      <c r="A160" t="s">
        <v>93</v>
      </c>
      <c r="B160">
        <v>3</v>
      </c>
      <c r="C160" t="s">
        <v>209</v>
      </c>
      <c r="D160" t="s">
        <v>369</v>
      </c>
      <c r="E160" t="s">
        <v>730</v>
      </c>
      <c r="F160" t="s">
        <v>1091</v>
      </c>
      <c r="G160">
        <v>0</v>
      </c>
      <c r="H160">
        <v>0</v>
      </c>
      <c r="I160">
        <v>1</v>
      </c>
      <c r="J160">
        <v>0</v>
      </c>
      <c r="K160">
        <v>2</v>
      </c>
      <c r="L160">
        <f t="shared" si="4"/>
        <v>1</v>
      </c>
      <c r="M160">
        <f t="shared" si="5"/>
        <v>1</v>
      </c>
    </row>
    <row r="161" spans="1:13" x14ac:dyDescent="0.3">
      <c r="A161" t="s">
        <v>94</v>
      </c>
      <c r="B161">
        <v>3</v>
      </c>
      <c r="C161" t="s">
        <v>208</v>
      </c>
      <c r="D161" t="s">
        <v>370</v>
      </c>
      <c r="E161" t="s">
        <v>731</v>
      </c>
      <c r="F161" t="s">
        <v>1092</v>
      </c>
      <c r="G161">
        <v>1</v>
      </c>
      <c r="H161">
        <v>3</v>
      </c>
      <c r="I161">
        <v>2</v>
      </c>
      <c r="J161">
        <v>1</v>
      </c>
      <c r="K161">
        <v>0</v>
      </c>
      <c r="L161">
        <f t="shared" si="4"/>
        <v>0</v>
      </c>
      <c r="M161">
        <f t="shared" si="5"/>
        <v>1</v>
      </c>
    </row>
    <row r="162" spans="1:13" x14ac:dyDescent="0.3">
      <c r="A162" t="s">
        <v>95</v>
      </c>
      <c r="B162">
        <v>3</v>
      </c>
      <c r="C162" t="s">
        <v>208</v>
      </c>
      <c r="D162" t="s">
        <v>371</v>
      </c>
      <c r="E162" t="s">
        <v>732</v>
      </c>
      <c r="F162" t="s">
        <v>1093</v>
      </c>
      <c r="G162">
        <v>1</v>
      </c>
      <c r="H162">
        <v>2</v>
      </c>
      <c r="I162">
        <v>1</v>
      </c>
      <c r="J162">
        <v>0</v>
      </c>
      <c r="K162">
        <v>2</v>
      </c>
      <c r="L162">
        <f t="shared" si="4"/>
        <v>0</v>
      </c>
      <c r="M162">
        <f t="shared" si="5"/>
        <v>1</v>
      </c>
    </row>
    <row r="163" spans="1:13" x14ac:dyDescent="0.3">
      <c r="A163" t="s">
        <v>95</v>
      </c>
      <c r="B163">
        <v>3</v>
      </c>
      <c r="C163" t="s">
        <v>209</v>
      </c>
      <c r="D163" t="s">
        <v>372</v>
      </c>
      <c r="E163" t="s">
        <v>733</v>
      </c>
      <c r="F163" t="s">
        <v>1094</v>
      </c>
      <c r="G163">
        <v>3</v>
      </c>
      <c r="H163">
        <v>5</v>
      </c>
      <c r="I163">
        <v>4</v>
      </c>
      <c r="J163">
        <v>4</v>
      </c>
      <c r="K163">
        <v>8</v>
      </c>
      <c r="L163">
        <f t="shared" si="4"/>
        <v>0</v>
      </c>
      <c r="M163">
        <f t="shared" si="5"/>
        <v>0</v>
      </c>
    </row>
    <row r="164" spans="1:13" x14ac:dyDescent="0.3">
      <c r="A164" t="s">
        <v>96</v>
      </c>
      <c r="B164">
        <v>3</v>
      </c>
      <c r="C164" t="s">
        <v>208</v>
      </c>
      <c r="D164" t="s">
        <v>373</v>
      </c>
      <c r="E164" t="s">
        <v>734</v>
      </c>
      <c r="F164" t="s">
        <v>1095</v>
      </c>
      <c r="G164">
        <v>0</v>
      </c>
      <c r="H164">
        <v>1</v>
      </c>
      <c r="I164">
        <v>1</v>
      </c>
      <c r="J164">
        <v>0</v>
      </c>
      <c r="K164">
        <v>2</v>
      </c>
      <c r="L164">
        <f t="shared" si="4"/>
        <v>1</v>
      </c>
      <c r="M164">
        <f t="shared" si="5"/>
        <v>1</v>
      </c>
    </row>
    <row r="165" spans="1:13" x14ac:dyDescent="0.3">
      <c r="A165" t="s">
        <v>96</v>
      </c>
      <c r="B165">
        <v>3</v>
      </c>
      <c r="C165" t="s">
        <v>209</v>
      </c>
      <c r="D165" t="s">
        <v>374</v>
      </c>
      <c r="E165" t="s">
        <v>735</v>
      </c>
      <c r="F165" t="s">
        <v>1096</v>
      </c>
      <c r="G165">
        <v>0</v>
      </c>
      <c r="H165">
        <v>1</v>
      </c>
      <c r="I165">
        <v>1</v>
      </c>
      <c r="J165">
        <v>0</v>
      </c>
      <c r="K165">
        <v>2</v>
      </c>
      <c r="L165">
        <f t="shared" si="4"/>
        <v>1</v>
      </c>
      <c r="M165">
        <f t="shared" si="5"/>
        <v>1</v>
      </c>
    </row>
    <row r="166" spans="1:13" x14ac:dyDescent="0.3">
      <c r="A166" t="s">
        <v>97</v>
      </c>
      <c r="B166">
        <v>3</v>
      </c>
      <c r="C166" t="s">
        <v>208</v>
      </c>
      <c r="D166" t="s">
        <v>375</v>
      </c>
      <c r="E166" t="s">
        <v>736</v>
      </c>
      <c r="F166" t="s">
        <v>1097</v>
      </c>
      <c r="G166">
        <v>0</v>
      </c>
      <c r="H166">
        <v>0</v>
      </c>
      <c r="I166">
        <v>1</v>
      </c>
      <c r="J166">
        <v>0</v>
      </c>
      <c r="K166">
        <v>2</v>
      </c>
      <c r="L166">
        <f t="shared" si="4"/>
        <v>1</v>
      </c>
      <c r="M166">
        <f t="shared" si="5"/>
        <v>1</v>
      </c>
    </row>
    <row r="167" spans="1:13" x14ac:dyDescent="0.3">
      <c r="A167" t="s">
        <v>97</v>
      </c>
      <c r="B167">
        <v>3</v>
      </c>
      <c r="C167" t="s">
        <v>209</v>
      </c>
      <c r="D167" t="s">
        <v>376</v>
      </c>
      <c r="E167" t="s">
        <v>737</v>
      </c>
      <c r="F167" t="s">
        <v>1098</v>
      </c>
      <c r="G167">
        <v>0</v>
      </c>
      <c r="H167">
        <v>1</v>
      </c>
      <c r="I167">
        <v>1</v>
      </c>
      <c r="J167">
        <v>0</v>
      </c>
      <c r="K167">
        <v>2</v>
      </c>
      <c r="L167">
        <f t="shared" si="4"/>
        <v>1</v>
      </c>
      <c r="M167">
        <f t="shared" si="5"/>
        <v>1</v>
      </c>
    </row>
    <row r="168" spans="1:13" x14ac:dyDescent="0.3">
      <c r="A168" t="s">
        <v>98</v>
      </c>
      <c r="B168">
        <v>3</v>
      </c>
      <c r="C168" t="s">
        <v>208</v>
      </c>
      <c r="D168" t="s">
        <v>377</v>
      </c>
      <c r="E168" t="s">
        <v>738</v>
      </c>
      <c r="F168" t="s">
        <v>1099</v>
      </c>
      <c r="G168">
        <v>0</v>
      </c>
      <c r="H168">
        <v>1</v>
      </c>
      <c r="I168">
        <v>1</v>
      </c>
      <c r="J168">
        <v>1</v>
      </c>
      <c r="K168">
        <v>0</v>
      </c>
      <c r="L168">
        <f t="shared" si="4"/>
        <v>1</v>
      </c>
      <c r="M168">
        <f t="shared" si="5"/>
        <v>1</v>
      </c>
    </row>
    <row r="169" spans="1:13" x14ac:dyDescent="0.3">
      <c r="A169" t="s">
        <v>98</v>
      </c>
      <c r="B169">
        <v>3</v>
      </c>
      <c r="C169" t="s">
        <v>209</v>
      </c>
      <c r="D169" t="s">
        <v>378</v>
      </c>
      <c r="E169" t="s">
        <v>739</v>
      </c>
      <c r="F169" t="s">
        <v>1100</v>
      </c>
      <c r="G169">
        <v>0</v>
      </c>
      <c r="H169">
        <v>0</v>
      </c>
      <c r="I169">
        <v>1</v>
      </c>
      <c r="J169">
        <v>0</v>
      </c>
      <c r="K169">
        <v>2</v>
      </c>
      <c r="L169">
        <f t="shared" si="4"/>
        <v>1</v>
      </c>
      <c r="M169">
        <f t="shared" si="5"/>
        <v>1</v>
      </c>
    </row>
    <row r="170" spans="1:13" x14ac:dyDescent="0.3">
      <c r="A170" t="s">
        <v>99</v>
      </c>
      <c r="B170">
        <v>3</v>
      </c>
      <c r="C170" t="s">
        <v>208</v>
      </c>
      <c r="D170" t="s">
        <v>379</v>
      </c>
      <c r="E170" t="s">
        <v>740</v>
      </c>
      <c r="F170" t="s">
        <v>1101</v>
      </c>
      <c r="G170">
        <v>0</v>
      </c>
      <c r="H170">
        <v>2</v>
      </c>
      <c r="I170">
        <v>1</v>
      </c>
      <c r="J170">
        <v>0</v>
      </c>
      <c r="K170">
        <v>0</v>
      </c>
      <c r="L170">
        <f t="shared" si="4"/>
        <v>1</v>
      </c>
      <c r="M170">
        <f t="shared" si="5"/>
        <v>1</v>
      </c>
    </row>
    <row r="171" spans="1:13" x14ac:dyDescent="0.3">
      <c r="A171" t="s">
        <v>99</v>
      </c>
      <c r="B171">
        <v>3</v>
      </c>
      <c r="C171" t="s">
        <v>209</v>
      </c>
      <c r="D171" t="s">
        <v>380</v>
      </c>
      <c r="E171" t="s">
        <v>741</v>
      </c>
      <c r="F171" t="s">
        <v>1102</v>
      </c>
      <c r="G171">
        <v>0</v>
      </c>
      <c r="H171">
        <v>0</v>
      </c>
      <c r="I171">
        <v>1</v>
      </c>
      <c r="J171">
        <v>0</v>
      </c>
      <c r="K171">
        <v>0</v>
      </c>
      <c r="L171">
        <f t="shared" si="4"/>
        <v>1</v>
      </c>
      <c r="M171">
        <f t="shared" si="5"/>
        <v>1</v>
      </c>
    </row>
    <row r="172" spans="1:13" x14ac:dyDescent="0.3">
      <c r="A172" t="s">
        <v>100</v>
      </c>
      <c r="B172">
        <v>3</v>
      </c>
      <c r="C172" t="s">
        <v>208</v>
      </c>
      <c r="D172" t="s">
        <v>381</v>
      </c>
      <c r="E172" t="s">
        <v>742</v>
      </c>
      <c r="F172" t="s">
        <v>1103</v>
      </c>
      <c r="G172">
        <v>3</v>
      </c>
      <c r="H172">
        <v>6</v>
      </c>
      <c r="I172">
        <v>4</v>
      </c>
      <c r="J172">
        <v>4</v>
      </c>
      <c r="K172">
        <v>5</v>
      </c>
      <c r="L172">
        <f t="shared" si="4"/>
        <v>0</v>
      </c>
      <c r="M172">
        <f t="shared" si="5"/>
        <v>0</v>
      </c>
    </row>
    <row r="173" spans="1:13" x14ac:dyDescent="0.3">
      <c r="A173" t="s">
        <v>100</v>
      </c>
      <c r="B173">
        <v>3</v>
      </c>
      <c r="C173" t="s">
        <v>209</v>
      </c>
      <c r="D173" t="s">
        <v>382</v>
      </c>
      <c r="E173" t="s">
        <v>743</v>
      </c>
      <c r="F173" t="s">
        <v>1104</v>
      </c>
      <c r="G173">
        <v>3</v>
      </c>
      <c r="H173">
        <v>6</v>
      </c>
      <c r="I173">
        <v>4</v>
      </c>
      <c r="J173">
        <v>5</v>
      </c>
      <c r="K173">
        <v>6</v>
      </c>
      <c r="L173">
        <f t="shared" si="4"/>
        <v>0</v>
      </c>
      <c r="M173">
        <f t="shared" si="5"/>
        <v>0</v>
      </c>
    </row>
    <row r="174" spans="1:13" x14ac:dyDescent="0.3">
      <c r="A174" t="s">
        <v>101</v>
      </c>
      <c r="B174">
        <v>3</v>
      </c>
      <c r="C174" t="s">
        <v>208</v>
      </c>
      <c r="D174" t="s">
        <v>383</v>
      </c>
      <c r="E174" t="s">
        <v>744</v>
      </c>
      <c r="F174" t="s">
        <v>1105</v>
      </c>
      <c r="G174">
        <v>3</v>
      </c>
      <c r="H174">
        <v>2</v>
      </c>
      <c r="I174">
        <v>1</v>
      </c>
      <c r="J174">
        <v>2</v>
      </c>
      <c r="K174">
        <v>0</v>
      </c>
      <c r="L174">
        <f t="shared" si="4"/>
        <v>0</v>
      </c>
      <c r="M174">
        <f t="shared" si="5"/>
        <v>1</v>
      </c>
    </row>
    <row r="175" spans="1:13" x14ac:dyDescent="0.3">
      <c r="A175" t="s">
        <v>101</v>
      </c>
      <c r="B175">
        <v>3</v>
      </c>
      <c r="C175" t="s">
        <v>209</v>
      </c>
      <c r="D175" t="s">
        <v>384</v>
      </c>
      <c r="E175" t="s">
        <v>745</v>
      </c>
      <c r="F175" t="s">
        <v>1106</v>
      </c>
      <c r="G175">
        <v>1</v>
      </c>
      <c r="H175">
        <v>2</v>
      </c>
      <c r="I175">
        <v>1</v>
      </c>
      <c r="J175">
        <v>2</v>
      </c>
      <c r="K175">
        <v>0</v>
      </c>
      <c r="L175">
        <f t="shared" si="4"/>
        <v>0</v>
      </c>
      <c r="M175">
        <f t="shared" si="5"/>
        <v>1</v>
      </c>
    </row>
    <row r="176" spans="1:13" x14ac:dyDescent="0.3">
      <c r="A176" t="s">
        <v>102</v>
      </c>
      <c r="B176">
        <v>3</v>
      </c>
      <c r="C176" t="s">
        <v>208</v>
      </c>
      <c r="D176" t="s">
        <v>385</v>
      </c>
      <c r="E176" t="s">
        <v>746</v>
      </c>
      <c r="F176" t="s">
        <v>1107</v>
      </c>
      <c r="G176">
        <v>0</v>
      </c>
      <c r="H176">
        <v>2</v>
      </c>
      <c r="I176">
        <v>1</v>
      </c>
      <c r="J176">
        <v>1</v>
      </c>
      <c r="K176">
        <v>0</v>
      </c>
      <c r="L176">
        <f t="shared" si="4"/>
        <v>1</v>
      </c>
      <c r="M176">
        <f t="shared" si="5"/>
        <v>1</v>
      </c>
    </row>
    <row r="177" spans="1:13" x14ac:dyDescent="0.3">
      <c r="A177" t="s">
        <v>102</v>
      </c>
      <c r="B177">
        <v>3</v>
      </c>
      <c r="C177" t="s">
        <v>209</v>
      </c>
      <c r="D177" t="s">
        <v>386</v>
      </c>
      <c r="E177" t="s">
        <v>747</v>
      </c>
      <c r="F177" t="s">
        <v>1108</v>
      </c>
      <c r="G177">
        <v>0</v>
      </c>
      <c r="H177">
        <v>1</v>
      </c>
      <c r="I177">
        <v>1</v>
      </c>
      <c r="J177">
        <v>0</v>
      </c>
      <c r="K177">
        <v>0</v>
      </c>
      <c r="L177">
        <f t="shared" si="4"/>
        <v>1</v>
      </c>
      <c r="M177">
        <f t="shared" si="5"/>
        <v>1</v>
      </c>
    </row>
    <row r="178" spans="1:13" x14ac:dyDescent="0.3">
      <c r="A178" t="s">
        <v>103</v>
      </c>
      <c r="B178">
        <v>3</v>
      </c>
      <c r="C178" t="s">
        <v>208</v>
      </c>
      <c r="D178" t="s">
        <v>387</v>
      </c>
      <c r="E178" t="s">
        <v>748</v>
      </c>
      <c r="F178" t="s">
        <v>1109</v>
      </c>
      <c r="G178">
        <v>3</v>
      </c>
      <c r="H178">
        <v>8</v>
      </c>
      <c r="I178">
        <v>4</v>
      </c>
      <c r="J178">
        <v>2</v>
      </c>
      <c r="K178">
        <v>7</v>
      </c>
      <c r="L178">
        <f t="shared" si="4"/>
        <v>0</v>
      </c>
      <c r="M178">
        <f t="shared" si="5"/>
        <v>0</v>
      </c>
    </row>
    <row r="179" spans="1:13" x14ac:dyDescent="0.3">
      <c r="A179" t="s">
        <v>103</v>
      </c>
      <c r="B179">
        <v>3</v>
      </c>
      <c r="C179" t="s">
        <v>209</v>
      </c>
      <c r="D179" t="s">
        <v>388</v>
      </c>
      <c r="E179" t="s">
        <v>749</v>
      </c>
      <c r="F179" t="s">
        <v>1110</v>
      </c>
      <c r="G179">
        <v>0</v>
      </c>
      <c r="H179">
        <v>2</v>
      </c>
      <c r="I179">
        <v>1</v>
      </c>
      <c r="J179">
        <v>0</v>
      </c>
      <c r="K179">
        <v>0</v>
      </c>
      <c r="L179">
        <f t="shared" si="4"/>
        <v>1</v>
      </c>
      <c r="M179">
        <f t="shared" si="5"/>
        <v>1</v>
      </c>
    </row>
    <row r="180" spans="1:13" x14ac:dyDescent="0.3">
      <c r="A180" t="s">
        <v>104</v>
      </c>
      <c r="B180">
        <v>3</v>
      </c>
      <c r="C180" t="s">
        <v>209</v>
      </c>
      <c r="D180" t="s">
        <v>389</v>
      </c>
      <c r="E180" t="s">
        <v>750</v>
      </c>
      <c r="F180" t="s">
        <v>1111</v>
      </c>
      <c r="G180">
        <v>0</v>
      </c>
      <c r="H180">
        <v>2</v>
      </c>
      <c r="I180">
        <v>1</v>
      </c>
      <c r="J180">
        <v>1</v>
      </c>
      <c r="K180">
        <v>0</v>
      </c>
      <c r="L180">
        <f t="shared" si="4"/>
        <v>1</v>
      </c>
      <c r="M180">
        <f t="shared" si="5"/>
        <v>1</v>
      </c>
    </row>
    <row r="181" spans="1:13" x14ac:dyDescent="0.3">
      <c r="A181" t="s">
        <v>105</v>
      </c>
      <c r="B181">
        <v>3</v>
      </c>
      <c r="C181" t="s">
        <v>209</v>
      </c>
      <c r="D181" t="s">
        <v>390</v>
      </c>
      <c r="E181" t="s">
        <v>751</v>
      </c>
      <c r="F181" t="s">
        <v>1112</v>
      </c>
      <c r="G181">
        <v>1</v>
      </c>
      <c r="H181">
        <v>2</v>
      </c>
      <c r="I181">
        <v>1</v>
      </c>
      <c r="J181">
        <v>1</v>
      </c>
      <c r="K181">
        <v>0</v>
      </c>
      <c r="L181">
        <f t="shared" si="4"/>
        <v>0</v>
      </c>
      <c r="M181">
        <f t="shared" si="5"/>
        <v>1</v>
      </c>
    </row>
    <row r="182" spans="1:13" x14ac:dyDescent="0.3">
      <c r="A182" t="s">
        <v>106</v>
      </c>
      <c r="B182">
        <v>3</v>
      </c>
      <c r="C182" t="s">
        <v>209</v>
      </c>
      <c r="D182" t="s">
        <v>391</v>
      </c>
      <c r="E182" t="s">
        <v>752</v>
      </c>
      <c r="F182" t="s">
        <v>1113</v>
      </c>
      <c r="G182">
        <v>0</v>
      </c>
      <c r="H182">
        <v>3</v>
      </c>
      <c r="I182">
        <v>2</v>
      </c>
      <c r="J182">
        <v>0</v>
      </c>
      <c r="K182">
        <v>2</v>
      </c>
      <c r="L182">
        <f t="shared" si="4"/>
        <v>1</v>
      </c>
      <c r="M182">
        <f t="shared" si="5"/>
        <v>1</v>
      </c>
    </row>
    <row r="183" spans="1:13" x14ac:dyDescent="0.3">
      <c r="A183" t="s">
        <v>107</v>
      </c>
      <c r="B183">
        <v>3</v>
      </c>
      <c r="C183" t="s">
        <v>209</v>
      </c>
      <c r="D183" t="s">
        <v>392</v>
      </c>
      <c r="E183" t="s">
        <v>753</v>
      </c>
      <c r="F183" t="s">
        <v>1114</v>
      </c>
      <c r="G183">
        <v>0</v>
      </c>
      <c r="H183">
        <v>2</v>
      </c>
      <c r="I183">
        <v>1</v>
      </c>
      <c r="J183">
        <v>0</v>
      </c>
      <c r="K183">
        <v>0</v>
      </c>
      <c r="L183">
        <f t="shared" si="4"/>
        <v>1</v>
      </c>
      <c r="M183">
        <f t="shared" si="5"/>
        <v>1</v>
      </c>
    </row>
    <row r="184" spans="1:13" x14ac:dyDescent="0.3">
      <c r="A184" t="s">
        <v>108</v>
      </c>
      <c r="B184">
        <v>3</v>
      </c>
      <c r="C184" t="s">
        <v>209</v>
      </c>
      <c r="D184" t="s">
        <v>393</v>
      </c>
      <c r="E184" t="s">
        <v>754</v>
      </c>
      <c r="F184" t="s">
        <v>1115</v>
      </c>
      <c r="G184">
        <v>0</v>
      </c>
      <c r="H184">
        <v>1</v>
      </c>
      <c r="I184">
        <v>1</v>
      </c>
      <c r="J184">
        <v>1</v>
      </c>
      <c r="K184">
        <v>1</v>
      </c>
      <c r="L184">
        <f t="shared" si="4"/>
        <v>1</v>
      </c>
      <c r="M184">
        <f t="shared" si="5"/>
        <v>1</v>
      </c>
    </row>
    <row r="185" spans="1:13" x14ac:dyDescent="0.3">
      <c r="A185" t="s">
        <v>109</v>
      </c>
      <c r="B185">
        <v>3</v>
      </c>
      <c r="C185" t="s">
        <v>209</v>
      </c>
      <c r="D185" t="s">
        <v>394</v>
      </c>
      <c r="E185" t="s">
        <v>755</v>
      </c>
      <c r="F185" t="s">
        <v>1116</v>
      </c>
      <c r="G185">
        <v>0</v>
      </c>
      <c r="H185">
        <v>2</v>
      </c>
      <c r="I185">
        <v>1</v>
      </c>
      <c r="J185">
        <v>0</v>
      </c>
      <c r="K185">
        <v>0</v>
      </c>
      <c r="L185">
        <f t="shared" si="4"/>
        <v>1</v>
      </c>
      <c r="M185">
        <f t="shared" si="5"/>
        <v>1</v>
      </c>
    </row>
    <row r="186" spans="1:13" x14ac:dyDescent="0.3">
      <c r="A186" t="s">
        <v>110</v>
      </c>
      <c r="B186">
        <v>4</v>
      </c>
      <c r="C186" t="s">
        <v>209</v>
      </c>
      <c r="D186" t="s">
        <v>395</v>
      </c>
      <c r="E186" t="s">
        <v>756</v>
      </c>
      <c r="F186" t="s">
        <v>1117</v>
      </c>
      <c r="G186">
        <v>4</v>
      </c>
      <c r="H186">
        <v>9</v>
      </c>
      <c r="I186">
        <v>5</v>
      </c>
      <c r="J186">
        <v>4</v>
      </c>
      <c r="K186">
        <v>11</v>
      </c>
      <c r="L186">
        <f t="shared" si="4"/>
        <v>0</v>
      </c>
      <c r="M186">
        <f t="shared" si="5"/>
        <v>0</v>
      </c>
    </row>
    <row r="187" spans="1:13" x14ac:dyDescent="0.3">
      <c r="A187" t="s">
        <v>111</v>
      </c>
      <c r="B187">
        <v>4</v>
      </c>
      <c r="C187" t="s">
        <v>208</v>
      </c>
      <c r="D187" t="s">
        <v>396</v>
      </c>
      <c r="E187" t="s">
        <v>757</v>
      </c>
      <c r="F187" t="s">
        <v>1118</v>
      </c>
      <c r="G187">
        <v>0</v>
      </c>
      <c r="H187">
        <v>0</v>
      </c>
      <c r="I187">
        <v>1</v>
      </c>
      <c r="J187">
        <v>0</v>
      </c>
      <c r="K187">
        <v>0</v>
      </c>
      <c r="L187">
        <f t="shared" si="4"/>
        <v>1</v>
      </c>
      <c r="M187">
        <f t="shared" si="5"/>
        <v>1</v>
      </c>
    </row>
    <row r="188" spans="1:13" x14ac:dyDescent="0.3">
      <c r="A188" t="s">
        <v>111</v>
      </c>
      <c r="B188">
        <v>4</v>
      </c>
      <c r="C188" t="s">
        <v>209</v>
      </c>
      <c r="D188" t="s">
        <v>397</v>
      </c>
      <c r="E188" t="s">
        <v>758</v>
      </c>
      <c r="F188" t="s">
        <v>1119</v>
      </c>
      <c r="G188">
        <v>0</v>
      </c>
      <c r="H188">
        <v>0</v>
      </c>
      <c r="I188">
        <v>1</v>
      </c>
      <c r="J188">
        <v>0</v>
      </c>
      <c r="K188">
        <v>0</v>
      </c>
      <c r="L188">
        <f t="shared" si="4"/>
        <v>1</v>
      </c>
      <c r="M188">
        <f t="shared" si="5"/>
        <v>1</v>
      </c>
    </row>
    <row r="189" spans="1:13" x14ac:dyDescent="0.3">
      <c r="A189" t="s">
        <v>112</v>
      </c>
      <c r="B189">
        <v>4</v>
      </c>
      <c r="C189" t="s">
        <v>208</v>
      </c>
      <c r="D189" t="s">
        <v>398</v>
      </c>
      <c r="E189" t="s">
        <v>759</v>
      </c>
      <c r="F189" t="s">
        <v>1120</v>
      </c>
      <c r="G189">
        <v>3</v>
      </c>
      <c r="H189">
        <v>11</v>
      </c>
      <c r="I189">
        <v>5</v>
      </c>
      <c r="J189">
        <v>5</v>
      </c>
      <c r="K189">
        <v>12</v>
      </c>
      <c r="L189">
        <f t="shared" si="4"/>
        <v>0</v>
      </c>
      <c r="M189">
        <f t="shared" si="5"/>
        <v>0</v>
      </c>
    </row>
    <row r="190" spans="1:13" x14ac:dyDescent="0.3">
      <c r="A190" t="s">
        <v>112</v>
      </c>
      <c r="B190">
        <v>4</v>
      </c>
      <c r="C190" t="s">
        <v>209</v>
      </c>
      <c r="D190" t="s">
        <v>399</v>
      </c>
      <c r="E190" t="s">
        <v>760</v>
      </c>
      <c r="F190" t="s">
        <v>1121</v>
      </c>
      <c r="G190">
        <v>4</v>
      </c>
      <c r="H190">
        <v>8</v>
      </c>
      <c r="I190">
        <v>3</v>
      </c>
      <c r="J190">
        <v>3</v>
      </c>
      <c r="K190">
        <v>3</v>
      </c>
      <c r="L190">
        <f t="shared" si="4"/>
        <v>0</v>
      </c>
      <c r="M190">
        <f t="shared" si="5"/>
        <v>1</v>
      </c>
    </row>
    <row r="191" spans="1:13" x14ac:dyDescent="0.3">
      <c r="A191" t="s">
        <v>113</v>
      </c>
      <c r="B191">
        <v>4</v>
      </c>
      <c r="C191" t="s">
        <v>208</v>
      </c>
      <c r="D191" t="s">
        <v>400</v>
      </c>
      <c r="E191" t="s">
        <v>761</v>
      </c>
      <c r="F191" t="s">
        <v>1122</v>
      </c>
      <c r="G191">
        <v>0</v>
      </c>
      <c r="H191">
        <v>0</v>
      </c>
      <c r="I191">
        <v>1</v>
      </c>
      <c r="J191">
        <v>1</v>
      </c>
      <c r="K191">
        <v>3</v>
      </c>
      <c r="L191">
        <f t="shared" si="4"/>
        <v>1</v>
      </c>
      <c r="M191">
        <f t="shared" si="5"/>
        <v>1</v>
      </c>
    </row>
    <row r="192" spans="1:13" x14ac:dyDescent="0.3">
      <c r="A192" t="s">
        <v>113</v>
      </c>
      <c r="B192">
        <v>4</v>
      </c>
      <c r="C192" t="s">
        <v>209</v>
      </c>
      <c r="D192" t="s">
        <v>401</v>
      </c>
      <c r="E192" t="s">
        <v>762</v>
      </c>
      <c r="F192" t="s">
        <v>1123</v>
      </c>
      <c r="G192">
        <v>0</v>
      </c>
      <c r="H192">
        <v>0</v>
      </c>
      <c r="I192">
        <v>1</v>
      </c>
      <c r="J192">
        <v>0</v>
      </c>
      <c r="K192">
        <v>0</v>
      </c>
      <c r="L192">
        <f t="shared" si="4"/>
        <v>1</v>
      </c>
      <c r="M192">
        <f t="shared" si="5"/>
        <v>1</v>
      </c>
    </row>
    <row r="193" spans="1:13" x14ac:dyDescent="0.3">
      <c r="A193" t="s">
        <v>114</v>
      </c>
      <c r="B193">
        <v>4</v>
      </c>
      <c r="C193" t="s">
        <v>208</v>
      </c>
      <c r="D193" t="s">
        <v>402</v>
      </c>
      <c r="E193" t="s">
        <v>763</v>
      </c>
      <c r="F193" t="s">
        <v>1124</v>
      </c>
      <c r="G193">
        <v>0</v>
      </c>
      <c r="H193">
        <v>0</v>
      </c>
      <c r="I193">
        <v>1</v>
      </c>
      <c r="J193">
        <v>1</v>
      </c>
      <c r="K193">
        <v>9</v>
      </c>
      <c r="L193">
        <f t="shared" si="4"/>
        <v>1</v>
      </c>
      <c r="M193">
        <f t="shared" si="5"/>
        <v>0</v>
      </c>
    </row>
    <row r="194" spans="1:13" x14ac:dyDescent="0.3">
      <c r="A194" t="s">
        <v>114</v>
      </c>
      <c r="B194">
        <v>4</v>
      </c>
      <c r="C194" t="s">
        <v>209</v>
      </c>
      <c r="D194" t="s">
        <v>403</v>
      </c>
      <c r="E194" t="s">
        <v>764</v>
      </c>
      <c r="F194" t="s">
        <v>1125</v>
      </c>
      <c r="G194">
        <v>0</v>
      </c>
      <c r="H194">
        <v>9</v>
      </c>
      <c r="I194">
        <v>4</v>
      </c>
      <c r="J194">
        <v>3</v>
      </c>
      <c r="K194">
        <v>3</v>
      </c>
      <c r="L194">
        <f t="shared" si="4"/>
        <v>1</v>
      </c>
      <c r="M194">
        <f t="shared" si="5"/>
        <v>1</v>
      </c>
    </row>
    <row r="195" spans="1:13" x14ac:dyDescent="0.3">
      <c r="A195" t="s">
        <v>115</v>
      </c>
      <c r="B195">
        <v>4</v>
      </c>
      <c r="C195" t="s">
        <v>208</v>
      </c>
      <c r="D195" t="s">
        <v>404</v>
      </c>
      <c r="E195" t="s">
        <v>765</v>
      </c>
      <c r="F195" t="s">
        <v>1126</v>
      </c>
      <c r="G195">
        <v>3</v>
      </c>
      <c r="H195">
        <v>3</v>
      </c>
      <c r="I195">
        <v>1</v>
      </c>
      <c r="J195">
        <v>0</v>
      </c>
      <c r="K195">
        <v>0</v>
      </c>
      <c r="L195">
        <f t="shared" ref="L195:L258" si="6">IF(G195=0,1,0)</f>
        <v>0</v>
      </c>
      <c r="M195">
        <f t="shared" ref="M195:M258" si="7">IF(K195&lt;4,1,0)</f>
        <v>1</v>
      </c>
    </row>
    <row r="196" spans="1:13" x14ac:dyDescent="0.3">
      <c r="A196" t="s">
        <v>115</v>
      </c>
      <c r="B196">
        <v>4</v>
      </c>
      <c r="C196" t="s">
        <v>209</v>
      </c>
      <c r="D196" t="s">
        <v>405</v>
      </c>
      <c r="E196" t="s">
        <v>766</v>
      </c>
      <c r="F196" t="s">
        <v>1127</v>
      </c>
      <c r="G196">
        <v>0</v>
      </c>
      <c r="H196">
        <v>0</v>
      </c>
      <c r="I196">
        <v>3</v>
      </c>
      <c r="J196">
        <v>0</v>
      </c>
      <c r="K196">
        <v>0</v>
      </c>
      <c r="L196">
        <f t="shared" si="6"/>
        <v>1</v>
      </c>
      <c r="M196">
        <f t="shared" si="7"/>
        <v>1</v>
      </c>
    </row>
    <row r="197" spans="1:13" x14ac:dyDescent="0.3">
      <c r="A197" t="s">
        <v>116</v>
      </c>
      <c r="B197">
        <v>4</v>
      </c>
      <c r="C197" t="s">
        <v>209</v>
      </c>
      <c r="D197" t="s">
        <v>406</v>
      </c>
      <c r="E197" t="s">
        <v>767</v>
      </c>
      <c r="F197" t="s">
        <v>1128</v>
      </c>
      <c r="G197">
        <v>0</v>
      </c>
      <c r="H197">
        <v>0</v>
      </c>
      <c r="I197">
        <v>1</v>
      </c>
      <c r="J197">
        <v>0</v>
      </c>
      <c r="K197">
        <v>0</v>
      </c>
      <c r="L197">
        <f t="shared" si="6"/>
        <v>1</v>
      </c>
      <c r="M197">
        <f t="shared" si="7"/>
        <v>1</v>
      </c>
    </row>
    <row r="198" spans="1:13" x14ac:dyDescent="0.3">
      <c r="A198" t="s">
        <v>117</v>
      </c>
      <c r="B198">
        <v>4</v>
      </c>
      <c r="C198" t="s">
        <v>209</v>
      </c>
      <c r="D198" t="s">
        <v>407</v>
      </c>
      <c r="E198" t="s">
        <v>768</v>
      </c>
      <c r="F198" t="s">
        <v>1129</v>
      </c>
      <c r="G198">
        <v>0</v>
      </c>
      <c r="H198">
        <v>0</v>
      </c>
      <c r="I198">
        <v>1</v>
      </c>
      <c r="J198">
        <v>0</v>
      </c>
      <c r="K198">
        <v>0</v>
      </c>
      <c r="L198">
        <f t="shared" si="6"/>
        <v>1</v>
      </c>
      <c r="M198">
        <f t="shared" si="7"/>
        <v>1</v>
      </c>
    </row>
    <row r="199" spans="1:13" x14ac:dyDescent="0.3">
      <c r="A199" t="s">
        <v>118</v>
      </c>
      <c r="B199">
        <v>4</v>
      </c>
      <c r="C199" t="s">
        <v>209</v>
      </c>
      <c r="D199" t="s">
        <v>408</v>
      </c>
      <c r="E199" t="s">
        <v>769</v>
      </c>
      <c r="F199" t="s">
        <v>1130</v>
      </c>
      <c r="G199">
        <v>0</v>
      </c>
      <c r="H199">
        <v>0</v>
      </c>
      <c r="I199">
        <v>1</v>
      </c>
      <c r="J199">
        <v>0</v>
      </c>
      <c r="K199">
        <v>5</v>
      </c>
      <c r="L199">
        <f t="shared" si="6"/>
        <v>1</v>
      </c>
      <c r="M199">
        <f t="shared" si="7"/>
        <v>0</v>
      </c>
    </row>
    <row r="200" spans="1:13" x14ac:dyDescent="0.3">
      <c r="A200" t="s">
        <v>119</v>
      </c>
      <c r="B200">
        <v>4</v>
      </c>
      <c r="C200" t="s">
        <v>208</v>
      </c>
      <c r="D200" t="s">
        <v>409</v>
      </c>
      <c r="E200" t="s">
        <v>770</v>
      </c>
      <c r="F200" t="s">
        <v>1131</v>
      </c>
      <c r="G200">
        <v>4</v>
      </c>
      <c r="H200">
        <v>10</v>
      </c>
      <c r="I200">
        <v>4</v>
      </c>
      <c r="J200">
        <v>4</v>
      </c>
      <c r="K200">
        <v>7</v>
      </c>
      <c r="L200">
        <f t="shared" si="6"/>
        <v>0</v>
      </c>
      <c r="M200">
        <f t="shared" si="7"/>
        <v>0</v>
      </c>
    </row>
    <row r="201" spans="1:13" x14ac:dyDescent="0.3">
      <c r="A201" t="s">
        <v>119</v>
      </c>
      <c r="B201">
        <v>4</v>
      </c>
      <c r="C201" t="s">
        <v>209</v>
      </c>
      <c r="D201" t="s">
        <v>410</v>
      </c>
      <c r="E201" t="s">
        <v>771</v>
      </c>
      <c r="F201" t="s">
        <v>1132</v>
      </c>
      <c r="G201">
        <v>0</v>
      </c>
      <c r="H201">
        <v>0</v>
      </c>
      <c r="I201">
        <v>1</v>
      </c>
      <c r="J201">
        <v>0</v>
      </c>
      <c r="K201">
        <v>0</v>
      </c>
      <c r="L201">
        <f t="shared" si="6"/>
        <v>1</v>
      </c>
      <c r="M201">
        <f t="shared" si="7"/>
        <v>1</v>
      </c>
    </row>
    <row r="202" spans="1:13" x14ac:dyDescent="0.3">
      <c r="A202" t="s">
        <v>120</v>
      </c>
      <c r="B202">
        <v>4</v>
      </c>
      <c r="C202" t="s">
        <v>208</v>
      </c>
      <c r="D202" t="s">
        <v>411</v>
      </c>
      <c r="E202" t="s">
        <v>772</v>
      </c>
      <c r="F202" t="s">
        <v>1133</v>
      </c>
      <c r="G202">
        <v>0</v>
      </c>
      <c r="H202">
        <v>0</v>
      </c>
      <c r="I202">
        <v>1</v>
      </c>
      <c r="J202">
        <v>0</v>
      </c>
      <c r="K202">
        <v>0</v>
      </c>
      <c r="L202">
        <f t="shared" si="6"/>
        <v>1</v>
      </c>
      <c r="M202">
        <f t="shared" si="7"/>
        <v>1</v>
      </c>
    </row>
    <row r="203" spans="1:13" x14ac:dyDescent="0.3">
      <c r="A203" t="s">
        <v>120</v>
      </c>
      <c r="B203">
        <v>4</v>
      </c>
      <c r="C203" t="s">
        <v>209</v>
      </c>
      <c r="D203" t="s">
        <v>412</v>
      </c>
      <c r="E203" t="s">
        <v>773</v>
      </c>
      <c r="F203" t="s">
        <v>1134</v>
      </c>
      <c r="G203">
        <v>0</v>
      </c>
      <c r="H203">
        <v>3</v>
      </c>
      <c r="I203">
        <v>3</v>
      </c>
      <c r="J203">
        <v>0</v>
      </c>
      <c r="K203">
        <v>4</v>
      </c>
      <c r="L203">
        <f t="shared" si="6"/>
        <v>1</v>
      </c>
      <c r="M203">
        <f t="shared" si="7"/>
        <v>0</v>
      </c>
    </row>
    <row r="204" spans="1:13" x14ac:dyDescent="0.3">
      <c r="A204" t="s">
        <v>121</v>
      </c>
      <c r="B204">
        <v>4</v>
      </c>
      <c r="C204" t="s">
        <v>209</v>
      </c>
      <c r="D204" t="s">
        <v>413</v>
      </c>
      <c r="E204" t="s">
        <v>774</v>
      </c>
      <c r="F204" t="s">
        <v>1135</v>
      </c>
      <c r="G204">
        <v>0</v>
      </c>
      <c r="H204">
        <v>0</v>
      </c>
      <c r="I204">
        <v>1</v>
      </c>
      <c r="J204">
        <v>0</v>
      </c>
      <c r="K204">
        <v>2</v>
      </c>
      <c r="L204">
        <f t="shared" si="6"/>
        <v>1</v>
      </c>
      <c r="M204">
        <f t="shared" si="7"/>
        <v>1</v>
      </c>
    </row>
    <row r="205" spans="1:13" x14ac:dyDescent="0.3">
      <c r="A205" t="s">
        <v>122</v>
      </c>
      <c r="B205">
        <v>4</v>
      </c>
      <c r="C205" t="s">
        <v>209</v>
      </c>
      <c r="D205" t="s">
        <v>414</v>
      </c>
      <c r="E205" t="s">
        <v>775</v>
      </c>
      <c r="F205" t="s">
        <v>1136</v>
      </c>
      <c r="G205">
        <v>0</v>
      </c>
      <c r="H205">
        <v>0</v>
      </c>
      <c r="I205">
        <v>1</v>
      </c>
      <c r="J205">
        <v>0</v>
      </c>
      <c r="K205">
        <v>4</v>
      </c>
      <c r="L205">
        <f t="shared" si="6"/>
        <v>1</v>
      </c>
      <c r="M205">
        <f t="shared" si="7"/>
        <v>0</v>
      </c>
    </row>
    <row r="206" spans="1:13" x14ac:dyDescent="0.3">
      <c r="A206" t="s">
        <v>123</v>
      </c>
      <c r="B206">
        <v>4</v>
      </c>
      <c r="C206" t="s">
        <v>208</v>
      </c>
      <c r="D206" t="s">
        <v>415</v>
      </c>
      <c r="E206" t="s">
        <v>776</v>
      </c>
      <c r="F206" t="s">
        <v>1137</v>
      </c>
      <c r="G206">
        <v>0</v>
      </c>
      <c r="H206">
        <v>0</v>
      </c>
      <c r="I206">
        <v>1</v>
      </c>
      <c r="J206">
        <v>2</v>
      </c>
      <c r="K206">
        <v>0</v>
      </c>
      <c r="L206">
        <f t="shared" si="6"/>
        <v>1</v>
      </c>
      <c r="M206">
        <f t="shared" si="7"/>
        <v>1</v>
      </c>
    </row>
    <row r="207" spans="1:13" x14ac:dyDescent="0.3">
      <c r="A207" t="s">
        <v>123</v>
      </c>
      <c r="B207">
        <v>4</v>
      </c>
      <c r="C207" t="s">
        <v>209</v>
      </c>
      <c r="D207" t="s">
        <v>416</v>
      </c>
      <c r="E207" t="s">
        <v>777</v>
      </c>
      <c r="F207" t="s">
        <v>1138</v>
      </c>
      <c r="G207">
        <v>4</v>
      </c>
      <c r="H207">
        <v>11</v>
      </c>
      <c r="I207">
        <v>4</v>
      </c>
      <c r="J207">
        <v>3</v>
      </c>
      <c r="K207">
        <v>6</v>
      </c>
      <c r="L207">
        <f t="shared" si="6"/>
        <v>0</v>
      </c>
      <c r="M207">
        <f t="shared" si="7"/>
        <v>0</v>
      </c>
    </row>
    <row r="208" spans="1:13" x14ac:dyDescent="0.3">
      <c r="A208" t="s">
        <v>124</v>
      </c>
      <c r="B208">
        <v>4</v>
      </c>
      <c r="C208" t="s">
        <v>208</v>
      </c>
      <c r="D208" t="s">
        <v>417</v>
      </c>
      <c r="E208" t="s">
        <v>778</v>
      </c>
      <c r="F208" t="s">
        <v>1139</v>
      </c>
      <c r="G208">
        <v>0</v>
      </c>
      <c r="H208">
        <v>0</v>
      </c>
      <c r="I208">
        <v>1</v>
      </c>
      <c r="J208">
        <v>1</v>
      </c>
      <c r="K208">
        <v>1</v>
      </c>
      <c r="L208">
        <f t="shared" si="6"/>
        <v>1</v>
      </c>
      <c r="M208">
        <f t="shared" si="7"/>
        <v>1</v>
      </c>
    </row>
    <row r="209" spans="1:13" x14ac:dyDescent="0.3">
      <c r="A209" t="s">
        <v>124</v>
      </c>
      <c r="B209">
        <v>4</v>
      </c>
      <c r="C209" t="s">
        <v>209</v>
      </c>
      <c r="D209" t="s">
        <v>418</v>
      </c>
      <c r="E209" t="s">
        <v>779</v>
      </c>
      <c r="F209" t="s">
        <v>1140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f t="shared" si="6"/>
        <v>1</v>
      </c>
      <c r="M209">
        <f t="shared" si="7"/>
        <v>1</v>
      </c>
    </row>
    <row r="210" spans="1:13" x14ac:dyDescent="0.3">
      <c r="A210" t="s">
        <v>125</v>
      </c>
      <c r="B210">
        <v>4</v>
      </c>
      <c r="C210" t="s">
        <v>209</v>
      </c>
      <c r="D210" t="s">
        <v>419</v>
      </c>
      <c r="E210" t="s">
        <v>780</v>
      </c>
      <c r="F210" t="s">
        <v>1141</v>
      </c>
      <c r="G210">
        <v>4</v>
      </c>
      <c r="H210">
        <v>10</v>
      </c>
      <c r="I210">
        <v>5</v>
      </c>
      <c r="J210">
        <v>4</v>
      </c>
      <c r="K210">
        <v>7</v>
      </c>
      <c r="L210">
        <f t="shared" si="6"/>
        <v>0</v>
      </c>
      <c r="M210">
        <f t="shared" si="7"/>
        <v>0</v>
      </c>
    </row>
    <row r="211" spans="1:13" x14ac:dyDescent="0.3">
      <c r="A211" t="s">
        <v>126</v>
      </c>
      <c r="B211">
        <v>4</v>
      </c>
      <c r="C211" t="s">
        <v>208</v>
      </c>
      <c r="D211" t="s">
        <v>420</v>
      </c>
      <c r="E211" t="s">
        <v>781</v>
      </c>
      <c r="F211" t="s">
        <v>1142</v>
      </c>
      <c r="G211">
        <v>0</v>
      </c>
      <c r="H211">
        <v>0</v>
      </c>
      <c r="I211">
        <v>1</v>
      </c>
      <c r="J211">
        <v>0</v>
      </c>
      <c r="K211">
        <v>0</v>
      </c>
      <c r="L211">
        <f t="shared" si="6"/>
        <v>1</v>
      </c>
      <c r="M211">
        <f t="shared" si="7"/>
        <v>1</v>
      </c>
    </row>
    <row r="212" spans="1:13" x14ac:dyDescent="0.3">
      <c r="A212" t="s">
        <v>126</v>
      </c>
      <c r="B212">
        <v>4</v>
      </c>
      <c r="C212" t="s">
        <v>209</v>
      </c>
      <c r="D212" t="s">
        <v>421</v>
      </c>
      <c r="E212" t="s">
        <v>782</v>
      </c>
      <c r="F212" t="s">
        <v>1143</v>
      </c>
      <c r="G212">
        <v>0</v>
      </c>
      <c r="H212">
        <v>0</v>
      </c>
      <c r="I212">
        <v>1</v>
      </c>
      <c r="J212">
        <v>0</v>
      </c>
      <c r="K212">
        <v>0</v>
      </c>
      <c r="L212">
        <f t="shared" si="6"/>
        <v>1</v>
      </c>
      <c r="M212">
        <f t="shared" si="7"/>
        <v>1</v>
      </c>
    </row>
    <row r="213" spans="1:13" x14ac:dyDescent="0.3">
      <c r="A213" t="s">
        <v>127</v>
      </c>
      <c r="B213">
        <v>4</v>
      </c>
      <c r="C213" t="s">
        <v>208</v>
      </c>
      <c r="D213" t="s">
        <v>422</v>
      </c>
      <c r="E213" t="s">
        <v>783</v>
      </c>
      <c r="F213" t="s">
        <v>1144</v>
      </c>
      <c r="G213">
        <v>3</v>
      </c>
      <c r="H213">
        <v>9</v>
      </c>
      <c r="I213">
        <v>4</v>
      </c>
      <c r="J213">
        <v>4</v>
      </c>
      <c r="K213">
        <v>10</v>
      </c>
      <c r="L213">
        <f t="shared" si="6"/>
        <v>0</v>
      </c>
      <c r="M213">
        <f t="shared" si="7"/>
        <v>0</v>
      </c>
    </row>
    <row r="214" spans="1:13" x14ac:dyDescent="0.3">
      <c r="A214" t="s">
        <v>127</v>
      </c>
      <c r="B214">
        <v>4</v>
      </c>
      <c r="C214" t="s">
        <v>209</v>
      </c>
      <c r="D214" t="s">
        <v>423</v>
      </c>
      <c r="E214" t="s">
        <v>784</v>
      </c>
      <c r="F214" t="s">
        <v>1145</v>
      </c>
      <c r="G214">
        <v>4</v>
      </c>
      <c r="H214">
        <v>9</v>
      </c>
      <c r="I214">
        <v>4</v>
      </c>
      <c r="J214">
        <v>4</v>
      </c>
      <c r="K214">
        <v>10</v>
      </c>
      <c r="L214">
        <f t="shared" si="6"/>
        <v>0</v>
      </c>
      <c r="M214">
        <f t="shared" si="7"/>
        <v>0</v>
      </c>
    </row>
    <row r="215" spans="1:13" x14ac:dyDescent="0.3">
      <c r="A215" t="s">
        <v>128</v>
      </c>
      <c r="B215">
        <v>4</v>
      </c>
      <c r="C215" t="s">
        <v>208</v>
      </c>
      <c r="D215" t="s">
        <v>424</v>
      </c>
      <c r="E215" t="s">
        <v>785</v>
      </c>
      <c r="F215" t="s">
        <v>1146</v>
      </c>
      <c r="G215">
        <v>0</v>
      </c>
      <c r="H215">
        <v>0</v>
      </c>
      <c r="I215">
        <v>1</v>
      </c>
      <c r="J215">
        <v>1</v>
      </c>
      <c r="K215">
        <v>0</v>
      </c>
      <c r="L215">
        <f t="shared" si="6"/>
        <v>1</v>
      </c>
      <c r="M215">
        <f t="shared" si="7"/>
        <v>1</v>
      </c>
    </row>
    <row r="216" spans="1:13" x14ac:dyDescent="0.3">
      <c r="A216" t="s">
        <v>128</v>
      </c>
      <c r="B216">
        <v>4</v>
      </c>
      <c r="C216" t="s">
        <v>209</v>
      </c>
      <c r="D216" t="s">
        <v>425</v>
      </c>
      <c r="E216" t="s">
        <v>786</v>
      </c>
      <c r="F216" t="s">
        <v>1147</v>
      </c>
      <c r="G216">
        <v>0</v>
      </c>
      <c r="H216">
        <v>0</v>
      </c>
      <c r="I216">
        <v>1</v>
      </c>
      <c r="J216">
        <v>0</v>
      </c>
      <c r="K216">
        <v>0</v>
      </c>
      <c r="L216">
        <f t="shared" si="6"/>
        <v>1</v>
      </c>
      <c r="M216">
        <f t="shared" si="7"/>
        <v>1</v>
      </c>
    </row>
    <row r="217" spans="1:13" x14ac:dyDescent="0.3">
      <c r="A217" t="s">
        <v>129</v>
      </c>
      <c r="B217">
        <v>4</v>
      </c>
      <c r="C217" t="s">
        <v>208</v>
      </c>
      <c r="D217" t="s">
        <v>426</v>
      </c>
      <c r="E217" t="s">
        <v>787</v>
      </c>
      <c r="F217" t="s">
        <v>1148</v>
      </c>
      <c r="G217">
        <v>0</v>
      </c>
      <c r="H217">
        <v>0</v>
      </c>
      <c r="I217">
        <v>1</v>
      </c>
      <c r="J217">
        <v>0</v>
      </c>
      <c r="K217">
        <v>0</v>
      </c>
      <c r="L217">
        <f t="shared" si="6"/>
        <v>1</v>
      </c>
      <c r="M217">
        <f t="shared" si="7"/>
        <v>1</v>
      </c>
    </row>
    <row r="218" spans="1:13" x14ac:dyDescent="0.3">
      <c r="A218" t="s">
        <v>129</v>
      </c>
      <c r="B218">
        <v>4</v>
      </c>
      <c r="C218" t="s">
        <v>209</v>
      </c>
      <c r="D218" t="s">
        <v>427</v>
      </c>
      <c r="E218" t="s">
        <v>788</v>
      </c>
      <c r="F218" t="s">
        <v>1149</v>
      </c>
      <c r="G218">
        <v>0</v>
      </c>
      <c r="H218">
        <v>0</v>
      </c>
      <c r="I218">
        <v>1</v>
      </c>
      <c r="J218">
        <v>0</v>
      </c>
      <c r="K218">
        <v>0</v>
      </c>
      <c r="L218">
        <f t="shared" si="6"/>
        <v>1</v>
      </c>
      <c r="M218">
        <f t="shared" si="7"/>
        <v>1</v>
      </c>
    </row>
    <row r="219" spans="1:13" x14ac:dyDescent="0.3">
      <c r="A219" t="s">
        <v>130</v>
      </c>
      <c r="B219">
        <v>4</v>
      </c>
      <c r="C219" t="s">
        <v>208</v>
      </c>
      <c r="D219" t="s">
        <v>428</v>
      </c>
      <c r="E219" t="s">
        <v>789</v>
      </c>
      <c r="F219" t="s">
        <v>1150</v>
      </c>
      <c r="G219">
        <v>0</v>
      </c>
      <c r="H219">
        <v>0</v>
      </c>
      <c r="I219">
        <v>1</v>
      </c>
      <c r="J219">
        <v>0</v>
      </c>
      <c r="K219">
        <v>1</v>
      </c>
      <c r="L219">
        <f t="shared" si="6"/>
        <v>1</v>
      </c>
      <c r="M219">
        <f t="shared" si="7"/>
        <v>1</v>
      </c>
    </row>
    <row r="220" spans="1:13" x14ac:dyDescent="0.3">
      <c r="A220" t="s">
        <v>130</v>
      </c>
      <c r="B220">
        <v>4</v>
      </c>
      <c r="C220" t="s">
        <v>209</v>
      </c>
      <c r="D220" t="s">
        <v>429</v>
      </c>
      <c r="E220" t="s">
        <v>790</v>
      </c>
      <c r="F220" t="s">
        <v>1151</v>
      </c>
      <c r="G220">
        <v>0</v>
      </c>
      <c r="H220">
        <v>0</v>
      </c>
      <c r="I220">
        <v>1</v>
      </c>
      <c r="J220">
        <v>0</v>
      </c>
      <c r="K220">
        <v>0</v>
      </c>
      <c r="L220">
        <f t="shared" si="6"/>
        <v>1</v>
      </c>
      <c r="M220">
        <f t="shared" si="7"/>
        <v>1</v>
      </c>
    </row>
    <row r="221" spans="1:13" x14ac:dyDescent="0.3">
      <c r="A221" t="s">
        <v>131</v>
      </c>
      <c r="B221">
        <v>4</v>
      </c>
      <c r="C221" t="s">
        <v>208</v>
      </c>
      <c r="D221" t="s">
        <v>430</v>
      </c>
      <c r="E221" t="s">
        <v>791</v>
      </c>
      <c r="F221" t="s">
        <v>1152</v>
      </c>
      <c r="G221">
        <v>0</v>
      </c>
      <c r="H221">
        <v>0</v>
      </c>
      <c r="I221">
        <v>1</v>
      </c>
      <c r="J221">
        <v>0</v>
      </c>
      <c r="K221">
        <v>0</v>
      </c>
      <c r="L221">
        <f t="shared" si="6"/>
        <v>1</v>
      </c>
      <c r="M221">
        <f t="shared" si="7"/>
        <v>1</v>
      </c>
    </row>
    <row r="222" spans="1:13" x14ac:dyDescent="0.3">
      <c r="A222" t="s">
        <v>131</v>
      </c>
      <c r="B222">
        <v>4</v>
      </c>
      <c r="C222" t="s">
        <v>209</v>
      </c>
      <c r="D222" t="s">
        <v>431</v>
      </c>
      <c r="E222" t="s">
        <v>792</v>
      </c>
      <c r="F222" t="s">
        <v>1153</v>
      </c>
      <c r="G222">
        <v>0</v>
      </c>
      <c r="H222">
        <v>0</v>
      </c>
      <c r="I222">
        <v>1</v>
      </c>
      <c r="J222">
        <v>0</v>
      </c>
      <c r="K222">
        <v>0</v>
      </c>
      <c r="L222">
        <f t="shared" si="6"/>
        <v>1</v>
      </c>
      <c r="M222">
        <f t="shared" si="7"/>
        <v>1</v>
      </c>
    </row>
    <row r="223" spans="1:13" x14ac:dyDescent="0.3">
      <c r="A223" t="s">
        <v>132</v>
      </c>
      <c r="B223">
        <v>4</v>
      </c>
      <c r="C223" t="s">
        <v>208</v>
      </c>
      <c r="D223" t="s">
        <v>432</v>
      </c>
      <c r="E223" t="s">
        <v>793</v>
      </c>
      <c r="F223" t="s">
        <v>1154</v>
      </c>
      <c r="G223">
        <v>0</v>
      </c>
      <c r="H223">
        <v>0</v>
      </c>
      <c r="I223">
        <v>1</v>
      </c>
      <c r="J223">
        <v>0</v>
      </c>
      <c r="K223">
        <v>0</v>
      </c>
      <c r="L223">
        <f t="shared" si="6"/>
        <v>1</v>
      </c>
      <c r="M223">
        <f t="shared" si="7"/>
        <v>1</v>
      </c>
    </row>
    <row r="224" spans="1:13" x14ac:dyDescent="0.3">
      <c r="A224" t="s">
        <v>132</v>
      </c>
      <c r="B224">
        <v>4</v>
      </c>
      <c r="C224" t="s">
        <v>209</v>
      </c>
      <c r="D224" t="s">
        <v>433</v>
      </c>
      <c r="E224" t="s">
        <v>794</v>
      </c>
      <c r="F224" t="s">
        <v>1155</v>
      </c>
      <c r="G224">
        <v>0</v>
      </c>
      <c r="H224">
        <v>0</v>
      </c>
      <c r="I224">
        <v>1</v>
      </c>
      <c r="J224">
        <v>0</v>
      </c>
      <c r="K224">
        <v>0</v>
      </c>
      <c r="L224">
        <f t="shared" si="6"/>
        <v>1</v>
      </c>
      <c r="M224">
        <f t="shared" si="7"/>
        <v>1</v>
      </c>
    </row>
    <row r="225" spans="1:13" x14ac:dyDescent="0.3">
      <c r="A225" t="s">
        <v>133</v>
      </c>
      <c r="B225">
        <v>4</v>
      </c>
      <c r="C225" t="s">
        <v>209</v>
      </c>
      <c r="D225" t="s">
        <v>434</v>
      </c>
      <c r="E225" t="s">
        <v>795</v>
      </c>
      <c r="F225" t="s">
        <v>1156</v>
      </c>
      <c r="G225">
        <v>0</v>
      </c>
      <c r="H225">
        <v>0</v>
      </c>
      <c r="I225">
        <v>1</v>
      </c>
      <c r="J225">
        <v>0</v>
      </c>
      <c r="K225">
        <v>0</v>
      </c>
      <c r="L225">
        <f t="shared" si="6"/>
        <v>1</v>
      </c>
      <c r="M225">
        <f t="shared" si="7"/>
        <v>1</v>
      </c>
    </row>
    <row r="226" spans="1:13" x14ac:dyDescent="0.3">
      <c r="A226" t="s">
        <v>134</v>
      </c>
      <c r="B226">
        <v>4</v>
      </c>
      <c r="C226" t="s">
        <v>209</v>
      </c>
      <c r="D226" t="s">
        <v>435</v>
      </c>
      <c r="E226" t="s">
        <v>796</v>
      </c>
      <c r="F226" t="s">
        <v>1157</v>
      </c>
      <c r="G226">
        <v>0</v>
      </c>
      <c r="H226">
        <v>0</v>
      </c>
      <c r="I226">
        <v>1</v>
      </c>
      <c r="J226">
        <v>0</v>
      </c>
      <c r="K226">
        <v>0</v>
      </c>
      <c r="L226">
        <f t="shared" si="6"/>
        <v>1</v>
      </c>
      <c r="M226">
        <f t="shared" si="7"/>
        <v>1</v>
      </c>
    </row>
    <row r="227" spans="1:13" x14ac:dyDescent="0.3">
      <c r="A227" t="s">
        <v>135</v>
      </c>
      <c r="B227">
        <v>4</v>
      </c>
      <c r="C227" t="s">
        <v>209</v>
      </c>
      <c r="D227" t="s">
        <v>436</v>
      </c>
      <c r="E227" t="s">
        <v>797</v>
      </c>
      <c r="F227" t="s">
        <v>1158</v>
      </c>
      <c r="G227">
        <v>4</v>
      </c>
      <c r="H227">
        <v>10</v>
      </c>
      <c r="I227">
        <v>4</v>
      </c>
      <c r="J227">
        <v>5</v>
      </c>
      <c r="K227">
        <v>14</v>
      </c>
      <c r="L227">
        <f t="shared" si="6"/>
        <v>0</v>
      </c>
      <c r="M227">
        <f t="shared" si="7"/>
        <v>0</v>
      </c>
    </row>
    <row r="228" spans="1:13" x14ac:dyDescent="0.3">
      <c r="A228" t="s">
        <v>136</v>
      </c>
      <c r="B228">
        <v>7</v>
      </c>
      <c r="C228" t="s">
        <v>208</v>
      </c>
      <c r="D228" t="s">
        <v>437</v>
      </c>
      <c r="E228" t="s">
        <v>798</v>
      </c>
      <c r="F228" t="s">
        <v>1159</v>
      </c>
      <c r="G228">
        <v>1</v>
      </c>
      <c r="H228">
        <v>0</v>
      </c>
      <c r="I228">
        <v>1</v>
      </c>
      <c r="J228">
        <v>1</v>
      </c>
      <c r="K228">
        <v>1</v>
      </c>
      <c r="L228">
        <f t="shared" si="6"/>
        <v>0</v>
      </c>
      <c r="M228">
        <f t="shared" si="7"/>
        <v>1</v>
      </c>
    </row>
    <row r="229" spans="1:13" x14ac:dyDescent="0.3">
      <c r="A229" t="s">
        <v>136</v>
      </c>
      <c r="B229">
        <v>7</v>
      </c>
      <c r="C229" t="s">
        <v>209</v>
      </c>
      <c r="D229" t="s">
        <v>438</v>
      </c>
      <c r="E229" t="s">
        <v>799</v>
      </c>
      <c r="F229" t="s">
        <v>1160</v>
      </c>
      <c r="G229">
        <v>0</v>
      </c>
      <c r="H229">
        <v>1</v>
      </c>
      <c r="I229">
        <v>2</v>
      </c>
      <c r="J229">
        <v>1</v>
      </c>
      <c r="K229">
        <v>1</v>
      </c>
      <c r="L229">
        <f t="shared" si="6"/>
        <v>1</v>
      </c>
      <c r="M229">
        <f t="shared" si="7"/>
        <v>1</v>
      </c>
    </row>
    <row r="230" spans="1:13" x14ac:dyDescent="0.3">
      <c r="A230" t="s">
        <v>137</v>
      </c>
      <c r="B230">
        <v>7</v>
      </c>
      <c r="C230" t="s">
        <v>208</v>
      </c>
      <c r="D230" t="s">
        <v>439</v>
      </c>
      <c r="E230" t="s">
        <v>800</v>
      </c>
      <c r="F230" t="s">
        <v>1161</v>
      </c>
      <c r="G230">
        <v>0</v>
      </c>
      <c r="H230">
        <v>0</v>
      </c>
      <c r="I230">
        <v>1</v>
      </c>
      <c r="J230">
        <v>1</v>
      </c>
      <c r="K230">
        <v>1</v>
      </c>
      <c r="L230">
        <f t="shared" si="6"/>
        <v>1</v>
      </c>
      <c r="M230">
        <f t="shared" si="7"/>
        <v>1</v>
      </c>
    </row>
    <row r="231" spans="1:13" x14ac:dyDescent="0.3">
      <c r="A231" t="s">
        <v>137</v>
      </c>
      <c r="B231">
        <v>7</v>
      </c>
      <c r="C231" t="s">
        <v>209</v>
      </c>
      <c r="D231" t="s">
        <v>440</v>
      </c>
      <c r="E231" t="s">
        <v>801</v>
      </c>
      <c r="F231" t="s">
        <v>1162</v>
      </c>
      <c r="G231">
        <v>0</v>
      </c>
      <c r="H231">
        <v>0</v>
      </c>
      <c r="I231">
        <v>1</v>
      </c>
      <c r="J231">
        <v>0</v>
      </c>
      <c r="K231">
        <v>0</v>
      </c>
      <c r="L231">
        <f t="shared" si="6"/>
        <v>1</v>
      </c>
      <c r="M231">
        <f t="shared" si="7"/>
        <v>1</v>
      </c>
    </row>
    <row r="232" spans="1:13" x14ac:dyDescent="0.3">
      <c r="A232" t="s">
        <v>138</v>
      </c>
      <c r="B232">
        <v>7</v>
      </c>
      <c r="C232" t="s">
        <v>208</v>
      </c>
      <c r="D232" t="s">
        <v>441</v>
      </c>
      <c r="E232" t="s">
        <v>802</v>
      </c>
      <c r="F232" t="s">
        <v>1163</v>
      </c>
      <c r="G232">
        <v>3</v>
      </c>
      <c r="H232">
        <v>5</v>
      </c>
      <c r="I232">
        <v>5</v>
      </c>
      <c r="J232">
        <v>6</v>
      </c>
      <c r="K232">
        <v>13</v>
      </c>
      <c r="L232">
        <f t="shared" si="6"/>
        <v>0</v>
      </c>
      <c r="M232">
        <f t="shared" si="7"/>
        <v>0</v>
      </c>
    </row>
    <row r="233" spans="1:13" x14ac:dyDescent="0.3">
      <c r="A233" t="s">
        <v>138</v>
      </c>
      <c r="B233">
        <v>7</v>
      </c>
      <c r="C233" t="s">
        <v>209</v>
      </c>
      <c r="D233" t="s">
        <v>442</v>
      </c>
      <c r="E233" t="s">
        <v>803</v>
      </c>
      <c r="F233" t="s">
        <v>1164</v>
      </c>
      <c r="G233">
        <v>0</v>
      </c>
      <c r="H233">
        <v>0</v>
      </c>
      <c r="I233">
        <v>1</v>
      </c>
      <c r="J233">
        <v>0</v>
      </c>
      <c r="K233">
        <v>0</v>
      </c>
      <c r="L233">
        <f t="shared" si="6"/>
        <v>1</v>
      </c>
      <c r="M233">
        <f t="shared" si="7"/>
        <v>1</v>
      </c>
    </row>
    <row r="234" spans="1:13" x14ac:dyDescent="0.3">
      <c r="A234" t="s">
        <v>139</v>
      </c>
      <c r="B234">
        <v>7</v>
      </c>
      <c r="C234" t="s">
        <v>208</v>
      </c>
      <c r="D234" t="s">
        <v>443</v>
      </c>
      <c r="E234" t="s">
        <v>804</v>
      </c>
      <c r="F234" t="s">
        <v>1165</v>
      </c>
      <c r="G234">
        <v>2</v>
      </c>
      <c r="H234">
        <v>1</v>
      </c>
      <c r="I234">
        <v>1</v>
      </c>
      <c r="J234">
        <v>0</v>
      </c>
      <c r="K234">
        <v>0</v>
      </c>
      <c r="L234">
        <f t="shared" si="6"/>
        <v>0</v>
      </c>
      <c r="M234">
        <f t="shared" si="7"/>
        <v>1</v>
      </c>
    </row>
    <row r="235" spans="1:13" x14ac:dyDescent="0.3">
      <c r="A235" t="s">
        <v>139</v>
      </c>
      <c r="B235">
        <v>7</v>
      </c>
      <c r="C235" t="s">
        <v>209</v>
      </c>
      <c r="D235" t="s">
        <v>444</v>
      </c>
      <c r="E235" t="s">
        <v>805</v>
      </c>
      <c r="F235" t="s">
        <v>1166</v>
      </c>
      <c r="G235">
        <v>0</v>
      </c>
      <c r="H235">
        <v>0</v>
      </c>
      <c r="I235">
        <v>1</v>
      </c>
      <c r="J235">
        <v>0</v>
      </c>
      <c r="K235">
        <v>0</v>
      </c>
      <c r="L235">
        <f t="shared" si="6"/>
        <v>1</v>
      </c>
      <c r="M235">
        <f t="shared" si="7"/>
        <v>1</v>
      </c>
    </row>
    <row r="236" spans="1:13" x14ac:dyDescent="0.3">
      <c r="A236" t="s">
        <v>140</v>
      </c>
      <c r="B236">
        <v>7</v>
      </c>
      <c r="C236" t="s">
        <v>208</v>
      </c>
      <c r="D236" t="s">
        <v>445</v>
      </c>
      <c r="E236" t="s">
        <v>806</v>
      </c>
      <c r="F236" t="s">
        <v>1167</v>
      </c>
      <c r="G236">
        <v>0</v>
      </c>
      <c r="H236">
        <v>0</v>
      </c>
      <c r="I236">
        <v>1</v>
      </c>
      <c r="J236">
        <v>1</v>
      </c>
      <c r="K236">
        <v>1</v>
      </c>
      <c r="L236">
        <f t="shared" si="6"/>
        <v>1</v>
      </c>
      <c r="M236">
        <f t="shared" si="7"/>
        <v>1</v>
      </c>
    </row>
    <row r="237" spans="1:13" x14ac:dyDescent="0.3">
      <c r="A237" t="s">
        <v>140</v>
      </c>
      <c r="B237">
        <v>7</v>
      </c>
      <c r="C237" t="s">
        <v>209</v>
      </c>
      <c r="D237" t="s">
        <v>446</v>
      </c>
      <c r="E237" t="s">
        <v>807</v>
      </c>
      <c r="F237" t="s">
        <v>1168</v>
      </c>
      <c r="G237">
        <v>4</v>
      </c>
      <c r="H237">
        <v>7</v>
      </c>
      <c r="I237">
        <v>4</v>
      </c>
      <c r="J237">
        <v>0</v>
      </c>
      <c r="K237">
        <v>0</v>
      </c>
      <c r="L237">
        <f t="shared" si="6"/>
        <v>0</v>
      </c>
      <c r="M237">
        <f t="shared" si="7"/>
        <v>1</v>
      </c>
    </row>
    <row r="238" spans="1:13" x14ac:dyDescent="0.3">
      <c r="A238" t="s">
        <v>141</v>
      </c>
      <c r="B238">
        <v>7</v>
      </c>
      <c r="C238" t="s">
        <v>209</v>
      </c>
      <c r="D238" t="s">
        <v>447</v>
      </c>
      <c r="E238" t="s">
        <v>808</v>
      </c>
      <c r="F238" t="s">
        <v>1169</v>
      </c>
      <c r="G238">
        <v>0</v>
      </c>
      <c r="H238">
        <v>0</v>
      </c>
      <c r="I238">
        <v>1</v>
      </c>
      <c r="J238">
        <v>0</v>
      </c>
      <c r="K238">
        <v>0</v>
      </c>
      <c r="L238">
        <f t="shared" si="6"/>
        <v>1</v>
      </c>
      <c r="M238">
        <f t="shared" si="7"/>
        <v>1</v>
      </c>
    </row>
    <row r="239" spans="1:13" x14ac:dyDescent="0.3">
      <c r="A239" t="s">
        <v>142</v>
      </c>
      <c r="B239">
        <v>7</v>
      </c>
      <c r="C239" t="s">
        <v>208</v>
      </c>
      <c r="D239" t="s">
        <v>448</v>
      </c>
      <c r="E239" t="s">
        <v>809</v>
      </c>
      <c r="F239" t="s">
        <v>1170</v>
      </c>
      <c r="G239">
        <v>0</v>
      </c>
      <c r="H239">
        <v>0</v>
      </c>
      <c r="I239">
        <v>1</v>
      </c>
      <c r="J239">
        <v>0</v>
      </c>
      <c r="K239">
        <v>0</v>
      </c>
      <c r="L239">
        <f t="shared" si="6"/>
        <v>1</v>
      </c>
      <c r="M239">
        <f t="shared" si="7"/>
        <v>1</v>
      </c>
    </row>
    <row r="240" spans="1:13" x14ac:dyDescent="0.3">
      <c r="A240" t="s">
        <v>142</v>
      </c>
      <c r="B240">
        <v>7</v>
      </c>
      <c r="C240" t="s">
        <v>209</v>
      </c>
      <c r="D240" t="s">
        <v>449</v>
      </c>
      <c r="E240" t="s">
        <v>810</v>
      </c>
      <c r="F240" t="s">
        <v>1171</v>
      </c>
      <c r="G240">
        <v>0</v>
      </c>
      <c r="H240">
        <v>0</v>
      </c>
      <c r="I240">
        <v>1</v>
      </c>
      <c r="J240">
        <v>0</v>
      </c>
      <c r="K240">
        <v>0</v>
      </c>
      <c r="L240">
        <f t="shared" si="6"/>
        <v>1</v>
      </c>
      <c r="M240">
        <f t="shared" si="7"/>
        <v>1</v>
      </c>
    </row>
    <row r="241" spans="1:13" x14ac:dyDescent="0.3">
      <c r="A241" t="s">
        <v>143</v>
      </c>
      <c r="B241">
        <v>7</v>
      </c>
      <c r="C241" t="s">
        <v>208</v>
      </c>
      <c r="D241" t="s">
        <v>450</v>
      </c>
      <c r="E241" t="s">
        <v>811</v>
      </c>
      <c r="F241" t="s">
        <v>1172</v>
      </c>
      <c r="G241">
        <v>2</v>
      </c>
      <c r="H241">
        <v>3</v>
      </c>
      <c r="I241">
        <v>3</v>
      </c>
      <c r="J241">
        <v>0</v>
      </c>
      <c r="K241">
        <v>1</v>
      </c>
      <c r="L241">
        <f t="shared" si="6"/>
        <v>0</v>
      </c>
      <c r="M241">
        <f t="shared" si="7"/>
        <v>1</v>
      </c>
    </row>
    <row r="242" spans="1:13" x14ac:dyDescent="0.3">
      <c r="A242" t="s">
        <v>143</v>
      </c>
      <c r="B242">
        <v>7</v>
      </c>
      <c r="C242" t="s">
        <v>209</v>
      </c>
      <c r="D242" t="s">
        <v>451</v>
      </c>
      <c r="E242" t="s">
        <v>812</v>
      </c>
      <c r="F242" t="s">
        <v>1173</v>
      </c>
      <c r="G242">
        <v>4</v>
      </c>
      <c r="H242">
        <v>6</v>
      </c>
      <c r="I242">
        <v>3</v>
      </c>
      <c r="J242">
        <v>2</v>
      </c>
      <c r="K242">
        <v>4</v>
      </c>
      <c r="L242">
        <f t="shared" si="6"/>
        <v>0</v>
      </c>
      <c r="M242">
        <f t="shared" si="7"/>
        <v>0</v>
      </c>
    </row>
    <row r="243" spans="1:13" x14ac:dyDescent="0.3">
      <c r="A243" t="s">
        <v>144</v>
      </c>
      <c r="B243">
        <v>7</v>
      </c>
      <c r="C243" t="s">
        <v>208</v>
      </c>
      <c r="D243" t="s">
        <v>452</v>
      </c>
      <c r="E243" t="s">
        <v>813</v>
      </c>
      <c r="F243" t="s">
        <v>1174</v>
      </c>
      <c r="G243">
        <v>0</v>
      </c>
      <c r="H243">
        <v>1</v>
      </c>
      <c r="I243">
        <v>1</v>
      </c>
      <c r="J243">
        <v>0</v>
      </c>
      <c r="K243">
        <v>0</v>
      </c>
      <c r="L243">
        <f t="shared" si="6"/>
        <v>1</v>
      </c>
      <c r="M243">
        <f t="shared" si="7"/>
        <v>1</v>
      </c>
    </row>
    <row r="244" spans="1:13" x14ac:dyDescent="0.3">
      <c r="A244" t="s">
        <v>144</v>
      </c>
      <c r="B244">
        <v>7</v>
      </c>
      <c r="C244" t="s">
        <v>209</v>
      </c>
      <c r="D244" t="s">
        <v>453</v>
      </c>
      <c r="E244" t="s">
        <v>814</v>
      </c>
      <c r="F244" t="s">
        <v>1175</v>
      </c>
      <c r="G244">
        <v>0</v>
      </c>
      <c r="H244">
        <v>1</v>
      </c>
      <c r="I244">
        <v>1</v>
      </c>
      <c r="J244">
        <v>1</v>
      </c>
      <c r="K244">
        <v>3</v>
      </c>
      <c r="L244">
        <f t="shared" si="6"/>
        <v>1</v>
      </c>
      <c r="M244">
        <f t="shared" si="7"/>
        <v>1</v>
      </c>
    </row>
    <row r="245" spans="1:13" x14ac:dyDescent="0.3">
      <c r="A245" t="s">
        <v>145</v>
      </c>
      <c r="B245">
        <v>7</v>
      </c>
      <c r="C245" t="s">
        <v>209</v>
      </c>
      <c r="D245" t="s">
        <v>454</v>
      </c>
      <c r="E245" t="s">
        <v>815</v>
      </c>
      <c r="F245" t="s">
        <v>1176</v>
      </c>
      <c r="G245">
        <v>0</v>
      </c>
      <c r="H245">
        <v>1</v>
      </c>
      <c r="I245">
        <v>2</v>
      </c>
      <c r="J245">
        <v>0</v>
      </c>
      <c r="K245">
        <v>0</v>
      </c>
      <c r="L245">
        <f t="shared" si="6"/>
        <v>1</v>
      </c>
      <c r="M245">
        <f t="shared" si="7"/>
        <v>1</v>
      </c>
    </row>
    <row r="246" spans="1:13" x14ac:dyDescent="0.3">
      <c r="A246" t="s">
        <v>146</v>
      </c>
      <c r="B246">
        <v>7</v>
      </c>
      <c r="C246" t="s">
        <v>208</v>
      </c>
      <c r="D246" t="s">
        <v>455</v>
      </c>
      <c r="E246" t="s">
        <v>816</v>
      </c>
      <c r="F246" t="s">
        <v>1177</v>
      </c>
      <c r="G246">
        <v>0</v>
      </c>
      <c r="H246">
        <v>1</v>
      </c>
      <c r="I246">
        <v>1</v>
      </c>
      <c r="J246">
        <v>0</v>
      </c>
      <c r="K246">
        <v>0</v>
      </c>
      <c r="L246">
        <f t="shared" si="6"/>
        <v>1</v>
      </c>
      <c r="M246">
        <f t="shared" si="7"/>
        <v>1</v>
      </c>
    </row>
    <row r="247" spans="1:13" x14ac:dyDescent="0.3">
      <c r="A247" t="s">
        <v>146</v>
      </c>
      <c r="B247">
        <v>7</v>
      </c>
      <c r="C247" t="s">
        <v>209</v>
      </c>
      <c r="D247" t="s">
        <v>456</v>
      </c>
      <c r="E247" t="s">
        <v>817</v>
      </c>
      <c r="F247" t="s">
        <v>1178</v>
      </c>
      <c r="G247">
        <v>0</v>
      </c>
      <c r="H247">
        <v>1</v>
      </c>
      <c r="I247">
        <v>1</v>
      </c>
      <c r="J247">
        <v>0</v>
      </c>
      <c r="K247">
        <v>0</v>
      </c>
      <c r="L247">
        <f t="shared" si="6"/>
        <v>1</v>
      </c>
      <c r="M247">
        <f t="shared" si="7"/>
        <v>1</v>
      </c>
    </row>
    <row r="248" spans="1:13" x14ac:dyDescent="0.3">
      <c r="A248" t="s">
        <v>147</v>
      </c>
      <c r="B248">
        <v>7</v>
      </c>
      <c r="C248" t="s">
        <v>208</v>
      </c>
      <c r="D248" t="s">
        <v>457</v>
      </c>
      <c r="E248" t="s">
        <v>818</v>
      </c>
      <c r="F248" t="s">
        <v>1179</v>
      </c>
      <c r="G248">
        <v>0</v>
      </c>
      <c r="H248">
        <v>1</v>
      </c>
      <c r="I248">
        <v>2</v>
      </c>
      <c r="J248">
        <v>0</v>
      </c>
      <c r="K248">
        <v>0</v>
      </c>
      <c r="L248">
        <f t="shared" si="6"/>
        <v>1</v>
      </c>
      <c r="M248">
        <f t="shared" si="7"/>
        <v>1</v>
      </c>
    </row>
    <row r="249" spans="1:13" x14ac:dyDescent="0.3">
      <c r="A249" t="s">
        <v>147</v>
      </c>
      <c r="B249">
        <v>7</v>
      </c>
      <c r="C249" t="s">
        <v>209</v>
      </c>
      <c r="D249" t="s">
        <v>458</v>
      </c>
      <c r="E249" t="s">
        <v>819</v>
      </c>
      <c r="F249" t="s">
        <v>1180</v>
      </c>
      <c r="G249">
        <v>0</v>
      </c>
      <c r="H249">
        <v>1</v>
      </c>
      <c r="I249">
        <v>1</v>
      </c>
      <c r="J249">
        <v>0</v>
      </c>
      <c r="K249">
        <v>0</v>
      </c>
      <c r="L249">
        <f t="shared" si="6"/>
        <v>1</v>
      </c>
      <c r="M249">
        <f t="shared" si="7"/>
        <v>1</v>
      </c>
    </row>
    <row r="250" spans="1:13" x14ac:dyDescent="0.3">
      <c r="A250" t="s">
        <v>148</v>
      </c>
      <c r="B250">
        <v>7</v>
      </c>
      <c r="C250" t="s">
        <v>208</v>
      </c>
      <c r="D250" t="s">
        <v>459</v>
      </c>
      <c r="E250" t="s">
        <v>820</v>
      </c>
      <c r="F250" t="s">
        <v>1181</v>
      </c>
      <c r="G250">
        <v>0</v>
      </c>
      <c r="H250">
        <v>0</v>
      </c>
      <c r="I250">
        <v>1</v>
      </c>
      <c r="J250">
        <v>0</v>
      </c>
      <c r="K250">
        <v>0</v>
      </c>
      <c r="L250">
        <f t="shared" si="6"/>
        <v>1</v>
      </c>
      <c r="M250">
        <f t="shared" si="7"/>
        <v>1</v>
      </c>
    </row>
    <row r="251" spans="1:13" x14ac:dyDescent="0.3">
      <c r="A251" t="s">
        <v>148</v>
      </c>
      <c r="B251">
        <v>7</v>
      </c>
      <c r="C251" t="s">
        <v>209</v>
      </c>
      <c r="D251" t="s">
        <v>460</v>
      </c>
      <c r="E251" t="s">
        <v>821</v>
      </c>
      <c r="F251" t="s">
        <v>1182</v>
      </c>
      <c r="G251">
        <v>0</v>
      </c>
      <c r="H251">
        <v>0</v>
      </c>
      <c r="I251">
        <v>1</v>
      </c>
      <c r="J251">
        <v>0</v>
      </c>
      <c r="K251">
        <v>0</v>
      </c>
      <c r="L251">
        <f t="shared" si="6"/>
        <v>1</v>
      </c>
      <c r="M251">
        <f t="shared" si="7"/>
        <v>1</v>
      </c>
    </row>
    <row r="252" spans="1:13" x14ac:dyDescent="0.3">
      <c r="A252" t="s">
        <v>149</v>
      </c>
      <c r="B252">
        <v>7</v>
      </c>
      <c r="C252" t="s">
        <v>208</v>
      </c>
      <c r="D252" t="s">
        <v>461</v>
      </c>
      <c r="E252" t="s">
        <v>822</v>
      </c>
      <c r="F252" t="s">
        <v>1183</v>
      </c>
      <c r="G252">
        <v>0</v>
      </c>
      <c r="H252">
        <v>0</v>
      </c>
      <c r="I252">
        <v>1</v>
      </c>
      <c r="J252">
        <v>2</v>
      </c>
      <c r="K252">
        <v>2</v>
      </c>
      <c r="L252">
        <f t="shared" si="6"/>
        <v>1</v>
      </c>
      <c r="M252">
        <f t="shared" si="7"/>
        <v>1</v>
      </c>
    </row>
    <row r="253" spans="1:13" x14ac:dyDescent="0.3">
      <c r="A253" t="s">
        <v>149</v>
      </c>
      <c r="B253">
        <v>7</v>
      </c>
      <c r="C253" t="s">
        <v>209</v>
      </c>
      <c r="D253" t="s">
        <v>462</v>
      </c>
      <c r="E253" t="s">
        <v>823</v>
      </c>
      <c r="F253" t="s">
        <v>1184</v>
      </c>
      <c r="G253">
        <v>0</v>
      </c>
      <c r="H253">
        <v>0</v>
      </c>
      <c r="I253">
        <v>1</v>
      </c>
      <c r="J253">
        <v>2</v>
      </c>
      <c r="K253">
        <v>1</v>
      </c>
      <c r="L253">
        <f t="shared" si="6"/>
        <v>1</v>
      </c>
      <c r="M253">
        <f t="shared" si="7"/>
        <v>1</v>
      </c>
    </row>
    <row r="254" spans="1:13" x14ac:dyDescent="0.3">
      <c r="A254" t="s">
        <v>150</v>
      </c>
      <c r="B254">
        <v>7</v>
      </c>
      <c r="C254" t="s">
        <v>208</v>
      </c>
      <c r="D254" t="s">
        <v>463</v>
      </c>
      <c r="E254" t="s">
        <v>824</v>
      </c>
      <c r="F254" t="s">
        <v>1185</v>
      </c>
      <c r="G254">
        <v>0</v>
      </c>
      <c r="H254">
        <v>0</v>
      </c>
      <c r="I254">
        <v>1</v>
      </c>
      <c r="J254">
        <v>1</v>
      </c>
      <c r="K254">
        <v>1</v>
      </c>
      <c r="L254">
        <f t="shared" si="6"/>
        <v>1</v>
      </c>
      <c r="M254">
        <f t="shared" si="7"/>
        <v>1</v>
      </c>
    </row>
    <row r="255" spans="1:13" x14ac:dyDescent="0.3">
      <c r="A255" t="s">
        <v>150</v>
      </c>
      <c r="B255">
        <v>7</v>
      </c>
      <c r="C255" t="s">
        <v>209</v>
      </c>
      <c r="D255" t="s">
        <v>464</v>
      </c>
      <c r="E255" t="s">
        <v>825</v>
      </c>
      <c r="F255" t="s">
        <v>1186</v>
      </c>
      <c r="G255">
        <v>0</v>
      </c>
      <c r="H255">
        <v>1</v>
      </c>
      <c r="I255">
        <v>1</v>
      </c>
      <c r="J255">
        <v>1</v>
      </c>
      <c r="K255">
        <v>1</v>
      </c>
      <c r="L255">
        <f t="shared" si="6"/>
        <v>1</v>
      </c>
      <c r="M255">
        <f t="shared" si="7"/>
        <v>1</v>
      </c>
    </row>
    <row r="256" spans="1:13" x14ac:dyDescent="0.3">
      <c r="A256" t="s">
        <v>151</v>
      </c>
      <c r="B256">
        <v>7</v>
      </c>
      <c r="C256" t="s">
        <v>208</v>
      </c>
      <c r="D256" t="s">
        <v>465</v>
      </c>
      <c r="E256" t="s">
        <v>826</v>
      </c>
      <c r="F256" t="s">
        <v>1187</v>
      </c>
      <c r="G256">
        <v>0</v>
      </c>
      <c r="H256">
        <v>1</v>
      </c>
      <c r="I256">
        <v>1</v>
      </c>
      <c r="J256">
        <v>0</v>
      </c>
      <c r="K256">
        <v>0</v>
      </c>
      <c r="L256">
        <f t="shared" si="6"/>
        <v>1</v>
      </c>
      <c r="M256">
        <f t="shared" si="7"/>
        <v>1</v>
      </c>
    </row>
    <row r="257" spans="1:13" x14ac:dyDescent="0.3">
      <c r="A257" t="s">
        <v>151</v>
      </c>
      <c r="B257">
        <v>7</v>
      </c>
      <c r="C257" t="s">
        <v>209</v>
      </c>
      <c r="D257" t="s">
        <v>466</v>
      </c>
      <c r="E257" t="s">
        <v>827</v>
      </c>
      <c r="F257" t="s">
        <v>1188</v>
      </c>
      <c r="G257">
        <v>0</v>
      </c>
      <c r="H257">
        <v>0</v>
      </c>
      <c r="I257">
        <v>1</v>
      </c>
      <c r="J257">
        <v>0</v>
      </c>
      <c r="K257">
        <v>1</v>
      </c>
      <c r="L257">
        <f t="shared" si="6"/>
        <v>1</v>
      </c>
      <c r="M257">
        <f t="shared" si="7"/>
        <v>1</v>
      </c>
    </row>
    <row r="258" spans="1:13" x14ac:dyDescent="0.3">
      <c r="A258" t="s">
        <v>152</v>
      </c>
      <c r="B258">
        <v>7</v>
      </c>
      <c r="C258" t="s">
        <v>208</v>
      </c>
      <c r="D258" t="s">
        <v>467</v>
      </c>
      <c r="E258" t="s">
        <v>828</v>
      </c>
      <c r="F258" t="s">
        <v>1189</v>
      </c>
      <c r="G258">
        <v>0</v>
      </c>
      <c r="H258">
        <v>0</v>
      </c>
      <c r="I258">
        <v>1</v>
      </c>
      <c r="J258">
        <v>0</v>
      </c>
      <c r="K258">
        <v>0</v>
      </c>
      <c r="L258">
        <f t="shared" si="6"/>
        <v>1</v>
      </c>
      <c r="M258">
        <f t="shared" si="7"/>
        <v>1</v>
      </c>
    </row>
    <row r="259" spans="1:13" x14ac:dyDescent="0.3">
      <c r="A259" t="s">
        <v>152</v>
      </c>
      <c r="B259">
        <v>7</v>
      </c>
      <c r="C259" t="s">
        <v>209</v>
      </c>
      <c r="D259" t="s">
        <v>468</v>
      </c>
      <c r="E259" t="s">
        <v>829</v>
      </c>
      <c r="F259" t="s">
        <v>1190</v>
      </c>
      <c r="G259">
        <v>0</v>
      </c>
      <c r="H259">
        <v>1</v>
      </c>
      <c r="I259">
        <v>1</v>
      </c>
      <c r="J259">
        <v>0</v>
      </c>
      <c r="K259">
        <v>0</v>
      </c>
      <c r="L259">
        <f t="shared" ref="L259:L322" si="8">IF(G259=0,1,0)</f>
        <v>1</v>
      </c>
      <c r="M259">
        <f t="shared" ref="M259:M322" si="9">IF(K259&lt;4,1,0)</f>
        <v>1</v>
      </c>
    </row>
    <row r="260" spans="1:13" x14ac:dyDescent="0.3">
      <c r="A260" t="s">
        <v>153</v>
      </c>
      <c r="B260">
        <v>7</v>
      </c>
      <c r="C260" t="s">
        <v>208</v>
      </c>
      <c r="D260" t="s">
        <v>469</v>
      </c>
      <c r="E260" t="s">
        <v>830</v>
      </c>
      <c r="F260" t="s">
        <v>1191</v>
      </c>
      <c r="G260">
        <v>0</v>
      </c>
      <c r="H260">
        <v>1</v>
      </c>
      <c r="I260">
        <v>1</v>
      </c>
      <c r="J260">
        <v>0</v>
      </c>
      <c r="K260">
        <v>0</v>
      </c>
      <c r="L260">
        <f t="shared" si="8"/>
        <v>1</v>
      </c>
      <c r="M260">
        <f t="shared" si="9"/>
        <v>1</v>
      </c>
    </row>
    <row r="261" spans="1:13" x14ac:dyDescent="0.3">
      <c r="A261" t="s">
        <v>153</v>
      </c>
      <c r="B261">
        <v>7</v>
      </c>
      <c r="C261" t="s">
        <v>209</v>
      </c>
      <c r="D261" t="s">
        <v>470</v>
      </c>
      <c r="E261" t="s">
        <v>831</v>
      </c>
      <c r="F261" t="s">
        <v>1192</v>
      </c>
      <c r="G261">
        <v>0</v>
      </c>
      <c r="H261">
        <v>1</v>
      </c>
      <c r="I261">
        <v>1</v>
      </c>
      <c r="J261">
        <v>0</v>
      </c>
      <c r="K261">
        <v>0</v>
      </c>
      <c r="L261">
        <f t="shared" si="8"/>
        <v>1</v>
      </c>
      <c r="M261">
        <f t="shared" si="9"/>
        <v>1</v>
      </c>
    </row>
    <row r="262" spans="1:13" x14ac:dyDescent="0.3">
      <c r="A262" t="s">
        <v>154</v>
      </c>
      <c r="B262">
        <v>7</v>
      </c>
      <c r="C262" t="s">
        <v>208</v>
      </c>
      <c r="D262" t="s">
        <v>471</v>
      </c>
      <c r="E262" t="s">
        <v>832</v>
      </c>
      <c r="F262" t="s">
        <v>1193</v>
      </c>
      <c r="G262">
        <v>0</v>
      </c>
      <c r="H262">
        <v>0</v>
      </c>
      <c r="I262">
        <v>1</v>
      </c>
      <c r="J262">
        <v>0</v>
      </c>
      <c r="K262">
        <v>0</v>
      </c>
      <c r="L262">
        <f t="shared" si="8"/>
        <v>1</v>
      </c>
      <c r="M262">
        <f t="shared" si="9"/>
        <v>1</v>
      </c>
    </row>
    <row r="263" spans="1:13" x14ac:dyDescent="0.3">
      <c r="A263" t="s">
        <v>154</v>
      </c>
      <c r="B263">
        <v>7</v>
      </c>
      <c r="C263" t="s">
        <v>209</v>
      </c>
      <c r="D263" t="s">
        <v>472</v>
      </c>
      <c r="E263" t="s">
        <v>833</v>
      </c>
      <c r="F263" t="s">
        <v>1194</v>
      </c>
      <c r="G263">
        <v>0</v>
      </c>
      <c r="H263">
        <v>0</v>
      </c>
      <c r="I263">
        <v>1</v>
      </c>
      <c r="J263">
        <v>0</v>
      </c>
      <c r="K263">
        <v>0</v>
      </c>
      <c r="L263">
        <f t="shared" si="8"/>
        <v>1</v>
      </c>
      <c r="M263">
        <f t="shared" si="9"/>
        <v>1</v>
      </c>
    </row>
    <row r="264" spans="1:13" x14ac:dyDescent="0.3">
      <c r="A264" t="s">
        <v>155</v>
      </c>
      <c r="B264">
        <v>7</v>
      </c>
      <c r="C264" t="s">
        <v>208</v>
      </c>
      <c r="D264" t="s">
        <v>473</v>
      </c>
      <c r="E264" t="s">
        <v>834</v>
      </c>
      <c r="F264" t="s">
        <v>1195</v>
      </c>
      <c r="G264">
        <v>0</v>
      </c>
      <c r="H264">
        <v>0</v>
      </c>
      <c r="I264">
        <v>1</v>
      </c>
      <c r="J264">
        <v>0</v>
      </c>
      <c r="K264">
        <v>0</v>
      </c>
      <c r="L264">
        <f t="shared" si="8"/>
        <v>1</v>
      </c>
      <c r="M264">
        <f t="shared" si="9"/>
        <v>1</v>
      </c>
    </row>
    <row r="265" spans="1:13" x14ac:dyDescent="0.3">
      <c r="A265" t="s">
        <v>155</v>
      </c>
      <c r="B265">
        <v>7</v>
      </c>
      <c r="C265" t="s">
        <v>209</v>
      </c>
      <c r="D265" t="s">
        <v>474</v>
      </c>
      <c r="E265" t="s">
        <v>835</v>
      </c>
      <c r="F265" t="s">
        <v>1196</v>
      </c>
      <c r="G265">
        <v>0</v>
      </c>
      <c r="H265">
        <v>1</v>
      </c>
      <c r="I265">
        <v>1</v>
      </c>
      <c r="J265">
        <v>0</v>
      </c>
      <c r="K265">
        <v>0</v>
      </c>
      <c r="L265">
        <f t="shared" si="8"/>
        <v>1</v>
      </c>
      <c r="M265">
        <f t="shared" si="9"/>
        <v>1</v>
      </c>
    </row>
    <row r="266" spans="1:13" x14ac:dyDescent="0.3">
      <c r="A266" t="s">
        <v>156</v>
      </c>
      <c r="B266">
        <v>7</v>
      </c>
      <c r="C266" t="s">
        <v>208</v>
      </c>
      <c r="D266" t="s">
        <v>475</v>
      </c>
      <c r="E266" t="s">
        <v>836</v>
      </c>
      <c r="F266" t="s">
        <v>1197</v>
      </c>
      <c r="G266">
        <v>0</v>
      </c>
      <c r="H266">
        <v>1</v>
      </c>
      <c r="I266">
        <v>1</v>
      </c>
      <c r="J266">
        <v>0</v>
      </c>
      <c r="K266">
        <v>2</v>
      </c>
      <c r="L266">
        <f t="shared" si="8"/>
        <v>1</v>
      </c>
      <c r="M266">
        <f t="shared" si="9"/>
        <v>1</v>
      </c>
    </row>
    <row r="267" spans="1:13" x14ac:dyDescent="0.3">
      <c r="A267" t="s">
        <v>156</v>
      </c>
      <c r="B267">
        <v>7</v>
      </c>
      <c r="C267" t="s">
        <v>209</v>
      </c>
      <c r="D267" t="s">
        <v>476</v>
      </c>
      <c r="E267" t="s">
        <v>837</v>
      </c>
      <c r="F267" t="s">
        <v>1198</v>
      </c>
      <c r="G267">
        <v>2</v>
      </c>
      <c r="H267">
        <v>1</v>
      </c>
      <c r="I267">
        <v>1</v>
      </c>
      <c r="J267">
        <v>0</v>
      </c>
      <c r="K267">
        <v>0</v>
      </c>
      <c r="L267">
        <f t="shared" si="8"/>
        <v>0</v>
      </c>
      <c r="M267">
        <f t="shared" si="9"/>
        <v>1</v>
      </c>
    </row>
    <row r="268" spans="1:13" x14ac:dyDescent="0.3">
      <c r="A268" t="s">
        <v>157</v>
      </c>
      <c r="B268">
        <v>7</v>
      </c>
      <c r="C268" t="s">
        <v>209</v>
      </c>
      <c r="D268" t="s">
        <v>477</v>
      </c>
      <c r="E268" t="s">
        <v>838</v>
      </c>
      <c r="F268" t="s">
        <v>1199</v>
      </c>
      <c r="G268">
        <v>0</v>
      </c>
      <c r="H268">
        <v>1</v>
      </c>
      <c r="I268">
        <v>1</v>
      </c>
      <c r="J268">
        <v>0</v>
      </c>
      <c r="K268">
        <v>0</v>
      </c>
      <c r="L268">
        <f t="shared" si="8"/>
        <v>1</v>
      </c>
      <c r="M268">
        <f t="shared" si="9"/>
        <v>1</v>
      </c>
    </row>
    <row r="269" spans="1:13" x14ac:dyDescent="0.3">
      <c r="A269" t="s">
        <v>158</v>
      </c>
      <c r="B269">
        <v>7</v>
      </c>
      <c r="C269" t="s">
        <v>208</v>
      </c>
      <c r="D269" t="s">
        <v>478</v>
      </c>
      <c r="E269" t="s">
        <v>839</v>
      </c>
      <c r="F269" t="s">
        <v>1200</v>
      </c>
      <c r="G269">
        <v>0</v>
      </c>
      <c r="H269">
        <v>1</v>
      </c>
      <c r="I269">
        <v>1</v>
      </c>
      <c r="J269">
        <v>0</v>
      </c>
      <c r="K269">
        <v>0</v>
      </c>
      <c r="L269">
        <f t="shared" si="8"/>
        <v>1</v>
      </c>
      <c r="M269">
        <f t="shared" si="9"/>
        <v>1</v>
      </c>
    </row>
    <row r="270" spans="1:13" x14ac:dyDescent="0.3">
      <c r="A270" t="s">
        <v>158</v>
      </c>
      <c r="B270">
        <v>7</v>
      </c>
      <c r="C270" t="s">
        <v>209</v>
      </c>
      <c r="D270" t="s">
        <v>479</v>
      </c>
      <c r="E270" t="s">
        <v>840</v>
      </c>
      <c r="F270" t="s">
        <v>1201</v>
      </c>
      <c r="G270">
        <v>0</v>
      </c>
      <c r="H270">
        <v>0</v>
      </c>
      <c r="I270">
        <v>1</v>
      </c>
      <c r="J270">
        <v>0</v>
      </c>
      <c r="K270">
        <v>0</v>
      </c>
      <c r="L270">
        <f t="shared" si="8"/>
        <v>1</v>
      </c>
      <c r="M270">
        <f t="shared" si="9"/>
        <v>1</v>
      </c>
    </row>
    <row r="271" spans="1:13" x14ac:dyDescent="0.3">
      <c r="A271" t="s">
        <v>159</v>
      </c>
      <c r="B271">
        <v>7</v>
      </c>
      <c r="C271" t="s">
        <v>208</v>
      </c>
      <c r="D271" t="s">
        <v>480</v>
      </c>
      <c r="E271" t="s">
        <v>841</v>
      </c>
      <c r="F271" t="s">
        <v>1202</v>
      </c>
      <c r="G271">
        <v>0</v>
      </c>
      <c r="H271">
        <v>1</v>
      </c>
      <c r="I271">
        <v>1</v>
      </c>
      <c r="J271">
        <v>1</v>
      </c>
      <c r="K271">
        <v>1</v>
      </c>
      <c r="L271">
        <f t="shared" si="8"/>
        <v>1</v>
      </c>
      <c r="M271">
        <f t="shared" si="9"/>
        <v>1</v>
      </c>
    </row>
    <row r="272" spans="1:13" x14ac:dyDescent="0.3">
      <c r="A272" t="s">
        <v>159</v>
      </c>
      <c r="B272">
        <v>7</v>
      </c>
      <c r="C272" t="s">
        <v>209</v>
      </c>
      <c r="D272" t="s">
        <v>481</v>
      </c>
      <c r="E272" t="s">
        <v>842</v>
      </c>
      <c r="F272" t="s">
        <v>1203</v>
      </c>
      <c r="G272">
        <v>0</v>
      </c>
      <c r="H272">
        <v>1</v>
      </c>
      <c r="I272">
        <v>1</v>
      </c>
      <c r="J272">
        <v>0</v>
      </c>
      <c r="K272">
        <v>0</v>
      </c>
      <c r="L272">
        <f t="shared" si="8"/>
        <v>1</v>
      </c>
      <c r="M272">
        <f t="shared" si="9"/>
        <v>1</v>
      </c>
    </row>
    <row r="273" spans="1:13" x14ac:dyDescent="0.3">
      <c r="A273" t="s">
        <v>160</v>
      </c>
      <c r="B273">
        <v>7</v>
      </c>
      <c r="C273" t="s">
        <v>208</v>
      </c>
      <c r="D273" t="s">
        <v>482</v>
      </c>
      <c r="E273" t="s">
        <v>843</v>
      </c>
      <c r="F273" t="s">
        <v>1204</v>
      </c>
      <c r="G273">
        <v>0</v>
      </c>
      <c r="H273">
        <v>1</v>
      </c>
      <c r="I273">
        <v>1</v>
      </c>
      <c r="J273">
        <v>0</v>
      </c>
      <c r="K273">
        <v>0</v>
      </c>
      <c r="L273">
        <f t="shared" si="8"/>
        <v>1</v>
      </c>
      <c r="M273">
        <f t="shared" si="9"/>
        <v>1</v>
      </c>
    </row>
    <row r="274" spans="1:13" x14ac:dyDescent="0.3">
      <c r="A274" t="s">
        <v>160</v>
      </c>
      <c r="B274">
        <v>7</v>
      </c>
      <c r="C274" t="s">
        <v>209</v>
      </c>
      <c r="D274" t="s">
        <v>483</v>
      </c>
      <c r="E274" t="s">
        <v>844</v>
      </c>
      <c r="F274" t="s">
        <v>1205</v>
      </c>
      <c r="G274">
        <v>0</v>
      </c>
      <c r="H274">
        <v>1</v>
      </c>
      <c r="I274">
        <v>1</v>
      </c>
      <c r="J274">
        <v>0</v>
      </c>
      <c r="K274">
        <v>0</v>
      </c>
      <c r="L274">
        <f t="shared" si="8"/>
        <v>1</v>
      </c>
      <c r="M274">
        <f t="shared" si="9"/>
        <v>1</v>
      </c>
    </row>
    <row r="275" spans="1:13" x14ac:dyDescent="0.3">
      <c r="A275" t="s">
        <v>161</v>
      </c>
      <c r="B275">
        <v>9</v>
      </c>
      <c r="C275" t="s">
        <v>208</v>
      </c>
      <c r="D275" t="s">
        <v>484</v>
      </c>
      <c r="E275" t="s">
        <v>845</v>
      </c>
      <c r="F275" t="s">
        <v>1206</v>
      </c>
      <c r="G275">
        <v>0</v>
      </c>
      <c r="H275">
        <v>0</v>
      </c>
      <c r="I275">
        <v>1</v>
      </c>
      <c r="J275">
        <v>1</v>
      </c>
      <c r="K275">
        <v>0</v>
      </c>
      <c r="L275">
        <f t="shared" si="8"/>
        <v>1</v>
      </c>
      <c r="M275">
        <f t="shared" si="9"/>
        <v>1</v>
      </c>
    </row>
    <row r="276" spans="1:13" x14ac:dyDescent="0.3">
      <c r="A276" t="s">
        <v>161</v>
      </c>
      <c r="B276">
        <v>9</v>
      </c>
      <c r="C276" t="s">
        <v>209</v>
      </c>
      <c r="D276" t="s">
        <v>485</v>
      </c>
      <c r="E276" t="s">
        <v>846</v>
      </c>
      <c r="F276" t="s">
        <v>1207</v>
      </c>
      <c r="G276">
        <v>0</v>
      </c>
      <c r="H276">
        <v>0</v>
      </c>
      <c r="I276">
        <v>1</v>
      </c>
      <c r="J276">
        <v>0</v>
      </c>
      <c r="K276">
        <v>0</v>
      </c>
      <c r="L276">
        <f t="shared" si="8"/>
        <v>1</v>
      </c>
      <c r="M276">
        <f t="shared" si="9"/>
        <v>1</v>
      </c>
    </row>
    <row r="277" spans="1:13" x14ac:dyDescent="0.3">
      <c r="A277" t="s">
        <v>162</v>
      </c>
      <c r="B277">
        <v>9</v>
      </c>
      <c r="C277" t="s">
        <v>208</v>
      </c>
      <c r="D277" t="s">
        <v>486</v>
      </c>
      <c r="E277" t="s">
        <v>847</v>
      </c>
      <c r="F277" t="s">
        <v>1208</v>
      </c>
      <c r="G277">
        <v>0</v>
      </c>
      <c r="H277">
        <v>1</v>
      </c>
      <c r="I277">
        <v>1</v>
      </c>
      <c r="J277">
        <v>0</v>
      </c>
      <c r="K277">
        <v>0</v>
      </c>
      <c r="L277">
        <f t="shared" si="8"/>
        <v>1</v>
      </c>
      <c r="M277">
        <f t="shared" si="9"/>
        <v>1</v>
      </c>
    </row>
    <row r="278" spans="1:13" x14ac:dyDescent="0.3">
      <c r="A278" t="s">
        <v>163</v>
      </c>
      <c r="B278">
        <v>9</v>
      </c>
      <c r="C278" t="s">
        <v>208</v>
      </c>
      <c r="D278" t="s">
        <v>487</v>
      </c>
      <c r="E278" t="s">
        <v>848</v>
      </c>
      <c r="F278" t="s">
        <v>1209</v>
      </c>
      <c r="G278">
        <v>0</v>
      </c>
      <c r="H278">
        <v>2</v>
      </c>
      <c r="I278">
        <v>1</v>
      </c>
      <c r="J278">
        <v>1</v>
      </c>
      <c r="K278">
        <v>2</v>
      </c>
      <c r="L278">
        <f t="shared" si="8"/>
        <v>1</v>
      </c>
      <c r="M278">
        <f t="shared" si="9"/>
        <v>1</v>
      </c>
    </row>
    <row r="279" spans="1:13" x14ac:dyDescent="0.3">
      <c r="A279" t="s">
        <v>163</v>
      </c>
      <c r="B279">
        <v>9</v>
      </c>
      <c r="C279" t="s">
        <v>209</v>
      </c>
      <c r="D279" t="s">
        <v>488</v>
      </c>
      <c r="E279" t="s">
        <v>849</v>
      </c>
      <c r="F279" t="s">
        <v>1210</v>
      </c>
      <c r="G279">
        <v>0</v>
      </c>
      <c r="H279">
        <v>3</v>
      </c>
      <c r="I279">
        <v>2</v>
      </c>
      <c r="J279">
        <v>1</v>
      </c>
      <c r="K279">
        <v>2</v>
      </c>
      <c r="L279">
        <f t="shared" si="8"/>
        <v>1</v>
      </c>
      <c r="M279">
        <f t="shared" si="9"/>
        <v>1</v>
      </c>
    </row>
    <row r="280" spans="1:13" x14ac:dyDescent="0.3">
      <c r="A280" t="s">
        <v>164</v>
      </c>
      <c r="B280">
        <v>9</v>
      </c>
      <c r="C280" t="s">
        <v>208</v>
      </c>
      <c r="D280" t="s">
        <v>489</v>
      </c>
      <c r="E280" t="s">
        <v>850</v>
      </c>
      <c r="F280" t="s">
        <v>1211</v>
      </c>
      <c r="G280">
        <v>0</v>
      </c>
      <c r="H280">
        <v>1</v>
      </c>
      <c r="I280">
        <v>1</v>
      </c>
      <c r="J280">
        <v>0</v>
      </c>
      <c r="K280">
        <v>0</v>
      </c>
      <c r="L280">
        <f t="shared" si="8"/>
        <v>1</v>
      </c>
      <c r="M280">
        <f t="shared" si="9"/>
        <v>1</v>
      </c>
    </row>
    <row r="281" spans="1:13" x14ac:dyDescent="0.3">
      <c r="A281" t="s">
        <v>164</v>
      </c>
      <c r="B281">
        <v>9</v>
      </c>
      <c r="C281" t="s">
        <v>209</v>
      </c>
      <c r="D281" t="s">
        <v>490</v>
      </c>
      <c r="E281" t="s">
        <v>851</v>
      </c>
      <c r="F281" t="s">
        <v>1212</v>
      </c>
      <c r="G281">
        <v>4</v>
      </c>
      <c r="H281">
        <v>8</v>
      </c>
      <c r="I281">
        <v>4</v>
      </c>
      <c r="J281">
        <v>0</v>
      </c>
      <c r="K281">
        <v>0</v>
      </c>
      <c r="L281">
        <f t="shared" si="8"/>
        <v>0</v>
      </c>
      <c r="M281">
        <f t="shared" si="9"/>
        <v>1</v>
      </c>
    </row>
    <row r="282" spans="1:13" x14ac:dyDescent="0.3">
      <c r="A282" t="s">
        <v>165</v>
      </c>
      <c r="B282">
        <v>9</v>
      </c>
      <c r="C282" t="s">
        <v>208</v>
      </c>
      <c r="D282" t="s">
        <v>491</v>
      </c>
      <c r="E282" t="s">
        <v>852</v>
      </c>
      <c r="F282" t="s">
        <v>1213</v>
      </c>
      <c r="G282">
        <v>0</v>
      </c>
      <c r="H282">
        <v>1</v>
      </c>
      <c r="I282">
        <v>1</v>
      </c>
      <c r="J282">
        <v>0</v>
      </c>
      <c r="K282">
        <v>0</v>
      </c>
      <c r="L282">
        <f t="shared" si="8"/>
        <v>1</v>
      </c>
      <c r="M282">
        <f t="shared" si="9"/>
        <v>1</v>
      </c>
    </row>
    <row r="283" spans="1:13" x14ac:dyDescent="0.3">
      <c r="A283" t="s">
        <v>165</v>
      </c>
      <c r="B283">
        <v>9</v>
      </c>
      <c r="C283" t="s">
        <v>209</v>
      </c>
      <c r="D283" t="s">
        <v>492</v>
      </c>
      <c r="E283" t="s">
        <v>853</v>
      </c>
      <c r="F283" t="s">
        <v>1214</v>
      </c>
      <c r="G283">
        <v>0</v>
      </c>
      <c r="H283">
        <v>2</v>
      </c>
      <c r="I283">
        <v>1</v>
      </c>
      <c r="J283">
        <v>0</v>
      </c>
      <c r="K283">
        <v>0</v>
      </c>
      <c r="L283">
        <f t="shared" si="8"/>
        <v>1</v>
      </c>
      <c r="M283">
        <f t="shared" si="9"/>
        <v>1</v>
      </c>
    </row>
    <row r="284" spans="1:13" x14ac:dyDescent="0.3">
      <c r="A284" t="s">
        <v>166</v>
      </c>
      <c r="B284">
        <v>9</v>
      </c>
      <c r="C284" t="s">
        <v>208</v>
      </c>
      <c r="D284" t="s">
        <v>493</v>
      </c>
      <c r="E284" t="s">
        <v>854</v>
      </c>
      <c r="F284" t="s">
        <v>1215</v>
      </c>
      <c r="G284">
        <v>0</v>
      </c>
      <c r="H284">
        <v>2</v>
      </c>
      <c r="I284">
        <v>1</v>
      </c>
      <c r="J284">
        <v>1</v>
      </c>
      <c r="K284">
        <v>0</v>
      </c>
      <c r="L284">
        <f t="shared" si="8"/>
        <v>1</v>
      </c>
      <c r="M284">
        <f t="shared" si="9"/>
        <v>1</v>
      </c>
    </row>
    <row r="285" spans="1:13" x14ac:dyDescent="0.3">
      <c r="A285" t="s">
        <v>166</v>
      </c>
      <c r="B285">
        <v>9</v>
      </c>
      <c r="C285" t="s">
        <v>209</v>
      </c>
      <c r="D285" t="s">
        <v>494</v>
      </c>
      <c r="E285" t="s">
        <v>855</v>
      </c>
      <c r="F285" t="s">
        <v>1216</v>
      </c>
      <c r="G285">
        <v>0</v>
      </c>
      <c r="H285">
        <v>2</v>
      </c>
      <c r="I285">
        <v>1</v>
      </c>
      <c r="J285">
        <v>0</v>
      </c>
      <c r="K285">
        <v>0</v>
      </c>
      <c r="L285">
        <f t="shared" si="8"/>
        <v>1</v>
      </c>
      <c r="M285">
        <f t="shared" si="9"/>
        <v>1</v>
      </c>
    </row>
    <row r="286" spans="1:13" x14ac:dyDescent="0.3">
      <c r="A286" t="s">
        <v>167</v>
      </c>
      <c r="B286">
        <v>9</v>
      </c>
      <c r="C286" t="s">
        <v>208</v>
      </c>
      <c r="D286" t="s">
        <v>495</v>
      </c>
      <c r="E286" t="s">
        <v>856</v>
      </c>
      <c r="F286" t="s">
        <v>1217</v>
      </c>
      <c r="G286">
        <v>3</v>
      </c>
      <c r="H286">
        <v>6</v>
      </c>
      <c r="I286">
        <v>3</v>
      </c>
      <c r="J286">
        <v>0</v>
      </c>
      <c r="K286">
        <v>0</v>
      </c>
      <c r="L286">
        <f t="shared" si="8"/>
        <v>0</v>
      </c>
      <c r="M286">
        <f t="shared" si="9"/>
        <v>1</v>
      </c>
    </row>
    <row r="287" spans="1:13" x14ac:dyDescent="0.3">
      <c r="A287" t="s">
        <v>167</v>
      </c>
      <c r="B287">
        <v>9</v>
      </c>
      <c r="C287" t="s">
        <v>209</v>
      </c>
      <c r="D287" t="s">
        <v>496</v>
      </c>
      <c r="E287" t="s">
        <v>857</v>
      </c>
      <c r="F287" t="s">
        <v>1218</v>
      </c>
      <c r="G287">
        <v>4</v>
      </c>
      <c r="H287">
        <v>8</v>
      </c>
      <c r="I287">
        <v>4</v>
      </c>
      <c r="J287">
        <v>2</v>
      </c>
      <c r="K287">
        <v>1</v>
      </c>
      <c r="L287">
        <f t="shared" si="8"/>
        <v>0</v>
      </c>
      <c r="M287">
        <f t="shared" si="9"/>
        <v>1</v>
      </c>
    </row>
    <row r="288" spans="1:13" x14ac:dyDescent="0.3">
      <c r="A288" t="s">
        <v>168</v>
      </c>
      <c r="B288">
        <v>12</v>
      </c>
      <c r="C288" t="s">
        <v>209</v>
      </c>
      <c r="D288" t="s">
        <v>497</v>
      </c>
      <c r="E288" t="s">
        <v>858</v>
      </c>
      <c r="F288" t="s">
        <v>1219</v>
      </c>
      <c r="G288">
        <v>3</v>
      </c>
      <c r="H288">
        <v>1</v>
      </c>
      <c r="I288">
        <v>2</v>
      </c>
      <c r="J288">
        <v>1</v>
      </c>
      <c r="K288">
        <v>1</v>
      </c>
      <c r="L288">
        <f t="shared" si="8"/>
        <v>0</v>
      </c>
      <c r="M288">
        <f t="shared" si="9"/>
        <v>1</v>
      </c>
    </row>
    <row r="289" spans="1:13" x14ac:dyDescent="0.3">
      <c r="A289" t="s">
        <v>169</v>
      </c>
      <c r="B289">
        <v>12</v>
      </c>
      <c r="C289" t="s">
        <v>208</v>
      </c>
      <c r="D289" t="s">
        <v>498</v>
      </c>
      <c r="E289" t="s">
        <v>859</v>
      </c>
      <c r="F289" t="s">
        <v>1220</v>
      </c>
      <c r="G289">
        <v>0</v>
      </c>
      <c r="H289">
        <v>0</v>
      </c>
      <c r="I289">
        <v>2</v>
      </c>
      <c r="J289">
        <v>0</v>
      </c>
      <c r="K289">
        <v>0</v>
      </c>
      <c r="L289">
        <f t="shared" si="8"/>
        <v>1</v>
      </c>
      <c r="M289">
        <f t="shared" si="9"/>
        <v>1</v>
      </c>
    </row>
    <row r="290" spans="1:13" x14ac:dyDescent="0.3">
      <c r="A290" t="s">
        <v>169</v>
      </c>
      <c r="B290">
        <v>12</v>
      </c>
      <c r="C290" t="s">
        <v>209</v>
      </c>
      <c r="D290" t="s">
        <v>499</v>
      </c>
      <c r="E290" t="s">
        <v>860</v>
      </c>
      <c r="F290" t="s">
        <v>1221</v>
      </c>
      <c r="G290">
        <v>4</v>
      </c>
      <c r="H290">
        <v>2</v>
      </c>
      <c r="I290">
        <v>3</v>
      </c>
      <c r="J290">
        <v>3</v>
      </c>
      <c r="K290">
        <v>6</v>
      </c>
      <c r="L290">
        <f t="shared" si="8"/>
        <v>0</v>
      </c>
      <c r="M290">
        <f t="shared" si="9"/>
        <v>0</v>
      </c>
    </row>
    <row r="291" spans="1:13" x14ac:dyDescent="0.3">
      <c r="A291" t="s">
        <v>170</v>
      </c>
      <c r="B291">
        <v>12</v>
      </c>
      <c r="C291" t="s">
        <v>208</v>
      </c>
      <c r="D291" t="s">
        <v>500</v>
      </c>
      <c r="E291" t="s">
        <v>861</v>
      </c>
      <c r="F291" t="s">
        <v>1222</v>
      </c>
      <c r="G291">
        <v>0</v>
      </c>
      <c r="H291">
        <v>1</v>
      </c>
      <c r="I291">
        <v>2</v>
      </c>
      <c r="J291">
        <v>0</v>
      </c>
      <c r="K291">
        <v>0</v>
      </c>
      <c r="L291">
        <f t="shared" si="8"/>
        <v>1</v>
      </c>
      <c r="M291">
        <f t="shared" si="9"/>
        <v>1</v>
      </c>
    </row>
    <row r="292" spans="1:13" x14ac:dyDescent="0.3">
      <c r="A292" t="s">
        <v>170</v>
      </c>
      <c r="B292">
        <v>12</v>
      </c>
      <c r="C292" t="s">
        <v>209</v>
      </c>
      <c r="D292" t="s">
        <v>501</v>
      </c>
      <c r="E292" t="s">
        <v>862</v>
      </c>
      <c r="F292" t="s">
        <v>1223</v>
      </c>
      <c r="G292">
        <v>4</v>
      </c>
      <c r="H292">
        <v>5</v>
      </c>
      <c r="I292">
        <v>3</v>
      </c>
      <c r="J292">
        <v>4</v>
      </c>
      <c r="K292">
        <v>9</v>
      </c>
      <c r="L292">
        <f t="shared" si="8"/>
        <v>0</v>
      </c>
      <c r="M292">
        <f t="shared" si="9"/>
        <v>0</v>
      </c>
    </row>
    <row r="293" spans="1:13" x14ac:dyDescent="0.3">
      <c r="A293" t="s">
        <v>171</v>
      </c>
      <c r="B293">
        <v>12</v>
      </c>
      <c r="C293" t="s">
        <v>209</v>
      </c>
      <c r="D293" t="s">
        <v>502</v>
      </c>
      <c r="E293" t="s">
        <v>863</v>
      </c>
      <c r="F293" t="s">
        <v>1224</v>
      </c>
      <c r="G293">
        <v>0</v>
      </c>
      <c r="H293">
        <v>0</v>
      </c>
      <c r="I293">
        <v>1</v>
      </c>
      <c r="J293">
        <v>1</v>
      </c>
      <c r="K293">
        <v>0</v>
      </c>
      <c r="L293">
        <f t="shared" si="8"/>
        <v>1</v>
      </c>
      <c r="M293">
        <f t="shared" si="9"/>
        <v>1</v>
      </c>
    </row>
    <row r="294" spans="1:13" x14ac:dyDescent="0.3">
      <c r="A294" t="s">
        <v>172</v>
      </c>
      <c r="B294">
        <v>12</v>
      </c>
      <c r="C294" t="s">
        <v>208</v>
      </c>
      <c r="D294" t="s">
        <v>503</v>
      </c>
      <c r="E294" t="s">
        <v>864</v>
      </c>
      <c r="F294" t="s">
        <v>1225</v>
      </c>
      <c r="G294">
        <v>0</v>
      </c>
      <c r="H294">
        <v>0</v>
      </c>
      <c r="I294">
        <v>2</v>
      </c>
      <c r="J294">
        <v>1</v>
      </c>
      <c r="K294">
        <v>0</v>
      </c>
      <c r="L294">
        <f t="shared" si="8"/>
        <v>1</v>
      </c>
      <c r="M294">
        <f t="shared" si="9"/>
        <v>1</v>
      </c>
    </row>
    <row r="295" spans="1:13" x14ac:dyDescent="0.3">
      <c r="A295" t="s">
        <v>172</v>
      </c>
      <c r="B295">
        <v>12</v>
      </c>
      <c r="C295" t="s">
        <v>209</v>
      </c>
      <c r="D295" t="s">
        <v>504</v>
      </c>
      <c r="E295" t="s">
        <v>865</v>
      </c>
      <c r="F295" t="s">
        <v>1226</v>
      </c>
      <c r="G295">
        <v>0</v>
      </c>
      <c r="H295">
        <v>0</v>
      </c>
      <c r="I295">
        <v>2</v>
      </c>
      <c r="J295">
        <v>1</v>
      </c>
      <c r="K295">
        <v>0</v>
      </c>
      <c r="L295">
        <f t="shared" si="8"/>
        <v>1</v>
      </c>
      <c r="M295">
        <f t="shared" si="9"/>
        <v>1</v>
      </c>
    </row>
    <row r="296" spans="1:13" x14ac:dyDescent="0.3">
      <c r="A296" t="s">
        <v>173</v>
      </c>
      <c r="B296">
        <v>12</v>
      </c>
      <c r="C296" t="s">
        <v>208</v>
      </c>
      <c r="D296" t="s">
        <v>505</v>
      </c>
      <c r="E296" t="s">
        <v>866</v>
      </c>
      <c r="F296" t="s">
        <v>1227</v>
      </c>
      <c r="G296">
        <v>4</v>
      </c>
      <c r="H296">
        <v>12</v>
      </c>
      <c r="I296">
        <v>5</v>
      </c>
      <c r="J296">
        <v>7</v>
      </c>
      <c r="K296">
        <v>15</v>
      </c>
      <c r="L296">
        <f t="shared" si="8"/>
        <v>0</v>
      </c>
      <c r="M296">
        <f t="shared" si="9"/>
        <v>0</v>
      </c>
    </row>
    <row r="297" spans="1:13" x14ac:dyDescent="0.3">
      <c r="A297" t="s">
        <v>173</v>
      </c>
      <c r="B297">
        <v>12</v>
      </c>
      <c r="C297" t="s">
        <v>209</v>
      </c>
      <c r="D297" t="s">
        <v>506</v>
      </c>
      <c r="E297" t="s">
        <v>867</v>
      </c>
      <c r="F297" t="s">
        <v>1228</v>
      </c>
      <c r="G297">
        <v>4</v>
      </c>
      <c r="H297">
        <v>12</v>
      </c>
      <c r="I297">
        <v>5</v>
      </c>
      <c r="J297">
        <v>7</v>
      </c>
      <c r="K297">
        <v>15</v>
      </c>
      <c r="L297">
        <f t="shared" si="8"/>
        <v>0</v>
      </c>
      <c r="M297">
        <f t="shared" si="9"/>
        <v>0</v>
      </c>
    </row>
    <row r="298" spans="1:13" x14ac:dyDescent="0.3">
      <c r="A298" t="s">
        <v>174</v>
      </c>
      <c r="B298">
        <v>12</v>
      </c>
      <c r="C298" t="s">
        <v>208</v>
      </c>
      <c r="D298" t="s">
        <v>507</v>
      </c>
      <c r="E298" t="s">
        <v>868</v>
      </c>
      <c r="F298" t="s">
        <v>1229</v>
      </c>
      <c r="G298">
        <v>2</v>
      </c>
      <c r="H298">
        <v>1</v>
      </c>
      <c r="I298">
        <v>2</v>
      </c>
      <c r="J298">
        <v>1</v>
      </c>
      <c r="K298">
        <v>3</v>
      </c>
      <c r="L298">
        <f t="shared" si="8"/>
        <v>0</v>
      </c>
      <c r="M298">
        <f t="shared" si="9"/>
        <v>1</v>
      </c>
    </row>
    <row r="299" spans="1:13" x14ac:dyDescent="0.3">
      <c r="A299" t="s">
        <v>174</v>
      </c>
      <c r="B299">
        <v>12</v>
      </c>
      <c r="C299" t="s">
        <v>209</v>
      </c>
      <c r="D299" t="s">
        <v>508</v>
      </c>
      <c r="E299" t="s">
        <v>869</v>
      </c>
      <c r="F299" t="s">
        <v>1230</v>
      </c>
      <c r="G299">
        <v>2</v>
      </c>
      <c r="H299">
        <v>7</v>
      </c>
      <c r="I299">
        <v>3</v>
      </c>
      <c r="J299">
        <v>5</v>
      </c>
      <c r="K299">
        <v>12</v>
      </c>
      <c r="L299">
        <f t="shared" si="8"/>
        <v>0</v>
      </c>
      <c r="M299">
        <f t="shared" si="9"/>
        <v>0</v>
      </c>
    </row>
    <row r="300" spans="1:13" x14ac:dyDescent="0.3">
      <c r="A300" t="s">
        <v>175</v>
      </c>
      <c r="B300">
        <v>12</v>
      </c>
      <c r="C300" t="s">
        <v>208</v>
      </c>
      <c r="D300" t="s">
        <v>509</v>
      </c>
      <c r="E300" t="s">
        <v>870</v>
      </c>
      <c r="F300" t="s">
        <v>1231</v>
      </c>
      <c r="G300">
        <v>0</v>
      </c>
      <c r="H300">
        <v>0</v>
      </c>
      <c r="I300">
        <v>1</v>
      </c>
      <c r="J300">
        <v>0</v>
      </c>
      <c r="K300">
        <v>0</v>
      </c>
      <c r="L300">
        <f t="shared" si="8"/>
        <v>1</v>
      </c>
      <c r="M300">
        <f t="shared" si="9"/>
        <v>1</v>
      </c>
    </row>
    <row r="301" spans="1:13" x14ac:dyDescent="0.3">
      <c r="A301" t="s">
        <v>175</v>
      </c>
      <c r="B301">
        <v>12</v>
      </c>
      <c r="C301" t="s">
        <v>209</v>
      </c>
      <c r="D301" t="s">
        <v>510</v>
      </c>
      <c r="E301" t="s">
        <v>871</v>
      </c>
      <c r="F301" t="s">
        <v>1232</v>
      </c>
      <c r="G301">
        <v>0</v>
      </c>
      <c r="H301">
        <v>0</v>
      </c>
      <c r="I301">
        <v>1</v>
      </c>
      <c r="J301">
        <v>0</v>
      </c>
      <c r="K301">
        <v>0</v>
      </c>
      <c r="L301">
        <f t="shared" si="8"/>
        <v>1</v>
      </c>
      <c r="M301">
        <f t="shared" si="9"/>
        <v>1</v>
      </c>
    </row>
    <row r="302" spans="1:13" x14ac:dyDescent="0.3">
      <c r="A302" t="s">
        <v>176</v>
      </c>
      <c r="B302">
        <v>12</v>
      </c>
      <c r="C302" t="s">
        <v>208</v>
      </c>
      <c r="D302" t="s">
        <v>511</v>
      </c>
      <c r="E302" t="s">
        <v>872</v>
      </c>
      <c r="F302" t="s">
        <v>1233</v>
      </c>
      <c r="G302">
        <v>2</v>
      </c>
      <c r="H302">
        <v>1</v>
      </c>
      <c r="I302">
        <v>1</v>
      </c>
      <c r="J302">
        <v>3</v>
      </c>
      <c r="K302">
        <v>3</v>
      </c>
      <c r="L302">
        <f t="shared" si="8"/>
        <v>0</v>
      </c>
      <c r="M302">
        <f t="shared" si="9"/>
        <v>1</v>
      </c>
    </row>
    <row r="303" spans="1:13" x14ac:dyDescent="0.3">
      <c r="A303" t="s">
        <v>176</v>
      </c>
      <c r="B303">
        <v>12</v>
      </c>
      <c r="C303" t="s">
        <v>209</v>
      </c>
      <c r="D303" t="s">
        <v>512</v>
      </c>
      <c r="E303" t="s">
        <v>873</v>
      </c>
      <c r="F303" t="s">
        <v>1234</v>
      </c>
      <c r="G303">
        <v>3</v>
      </c>
      <c r="H303">
        <v>1</v>
      </c>
      <c r="I303">
        <v>1</v>
      </c>
      <c r="J303">
        <v>4</v>
      </c>
      <c r="K303">
        <v>6</v>
      </c>
      <c r="L303">
        <f t="shared" si="8"/>
        <v>0</v>
      </c>
      <c r="M303">
        <f t="shared" si="9"/>
        <v>0</v>
      </c>
    </row>
    <row r="304" spans="1:13" x14ac:dyDescent="0.3">
      <c r="A304" t="s">
        <v>177</v>
      </c>
      <c r="B304">
        <v>12</v>
      </c>
      <c r="C304" t="s">
        <v>208</v>
      </c>
      <c r="D304" t="s">
        <v>513</v>
      </c>
      <c r="E304" t="s">
        <v>874</v>
      </c>
      <c r="F304" t="s">
        <v>1235</v>
      </c>
      <c r="G304">
        <v>0</v>
      </c>
      <c r="H304">
        <v>1</v>
      </c>
      <c r="I304">
        <v>1</v>
      </c>
      <c r="J304">
        <v>1</v>
      </c>
      <c r="K304">
        <v>3</v>
      </c>
      <c r="L304">
        <f t="shared" si="8"/>
        <v>1</v>
      </c>
      <c r="M304">
        <f t="shared" si="9"/>
        <v>1</v>
      </c>
    </row>
    <row r="305" spans="1:13" x14ac:dyDescent="0.3">
      <c r="A305" t="s">
        <v>177</v>
      </c>
      <c r="B305">
        <v>12</v>
      </c>
      <c r="C305" t="s">
        <v>209</v>
      </c>
      <c r="D305" t="s">
        <v>514</v>
      </c>
      <c r="E305" t="s">
        <v>875</v>
      </c>
      <c r="F305" t="s">
        <v>1236</v>
      </c>
      <c r="G305">
        <v>0</v>
      </c>
      <c r="H305">
        <v>1</v>
      </c>
      <c r="I305">
        <v>1</v>
      </c>
      <c r="J305">
        <v>1</v>
      </c>
      <c r="K305">
        <v>0</v>
      </c>
      <c r="L305">
        <f t="shared" si="8"/>
        <v>1</v>
      </c>
      <c r="M305">
        <f t="shared" si="9"/>
        <v>1</v>
      </c>
    </row>
    <row r="306" spans="1:13" x14ac:dyDescent="0.3">
      <c r="A306" t="s">
        <v>178</v>
      </c>
      <c r="B306">
        <v>12</v>
      </c>
      <c r="C306" t="s">
        <v>208</v>
      </c>
      <c r="D306" t="s">
        <v>515</v>
      </c>
      <c r="E306" t="s">
        <v>876</v>
      </c>
      <c r="F306" t="s">
        <v>1237</v>
      </c>
      <c r="G306">
        <v>2</v>
      </c>
      <c r="H306">
        <v>9</v>
      </c>
      <c r="I306">
        <v>5</v>
      </c>
      <c r="J306">
        <v>8</v>
      </c>
      <c r="K306">
        <v>15</v>
      </c>
      <c r="L306">
        <f t="shared" si="8"/>
        <v>0</v>
      </c>
      <c r="M306">
        <f t="shared" si="9"/>
        <v>0</v>
      </c>
    </row>
    <row r="307" spans="1:13" x14ac:dyDescent="0.3">
      <c r="A307" t="s">
        <v>178</v>
      </c>
      <c r="B307">
        <v>12</v>
      </c>
      <c r="C307" t="s">
        <v>209</v>
      </c>
      <c r="D307" t="s">
        <v>516</v>
      </c>
      <c r="E307" t="s">
        <v>877</v>
      </c>
      <c r="F307" t="s">
        <v>1238</v>
      </c>
      <c r="G307">
        <v>2</v>
      </c>
      <c r="H307">
        <v>9</v>
      </c>
      <c r="I307">
        <v>5</v>
      </c>
      <c r="J307">
        <v>8</v>
      </c>
      <c r="K307">
        <v>15</v>
      </c>
      <c r="L307">
        <f t="shared" si="8"/>
        <v>0</v>
      </c>
      <c r="M307">
        <f t="shared" si="9"/>
        <v>0</v>
      </c>
    </row>
    <row r="308" spans="1:13" x14ac:dyDescent="0.3">
      <c r="A308" t="s">
        <v>179</v>
      </c>
      <c r="B308">
        <v>12</v>
      </c>
      <c r="C308" t="s">
        <v>208</v>
      </c>
      <c r="D308" t="s">
        <v>517</v>
      </c>
      <c r="E308" t="s">
        <v>878</v>
      </c>
      <c r="F308" t="s">
        <v>1239</v>
      </c>
      <c r="G308">
        <v>4</v>
      </c>
      <c r="H308">
        <v>7</v>
      </c>
      <c r="I308">
        <v>3</v>
      </c>
      <c r="J308">
        <v>6</v>
      </c>
      <c r="K308">
        <v>10</v>
      </c>
      <c r="L308">
        <f t="shared" si="8"/>
        <v>0</v>
      </c>
      <c r="M308">
        <f t="shared" si="9"/>
        <v>0</v>
      </c>
    </row>
    <row r="309" spans="1:13" x14ac:dyDescent="0.3">
      <c r="A309" t="s">
        <v>179</v>
      </c>
      <c r="B309">
        <v>12</v>
      </c>
      <c r="C309" t="s">
        <v>209</v>
      </c>
      <c r="D309" t="s">
        <v>518</v>
      </c>
      <c r="E309" t="s">
        <v>879</v>
      </c>
      <c r="F309" t="s">
        <v>1240</v>
      </c>
      <c r="G309">
        <v>0</v>
      </c>
      <c r="H309">
        <v>0</v>
      </c>
      <c r="I309">
        <v>1</v>
      </c>
      <c r="J309">
        <v>3</v>
      </c>
      <c r="K309">
        <v>1</v>
      </c>
      <c r="L309">
        <f t="shared" si="8"/>
        <v>1</v>
      </c>
      <c r="M309">
        <f t="shared" si="9"/>
        <v>1</v>
      </c>
    </row>
    <row r="310" spans="1:13" x14ac:dyDescent="0.3">
      <c r="A310" t="s">
        <v>180</v>
      </c>
      <c r="B310">
        <v>13</v>
      </c>
      <c r="C310" t="s">
        <v>208</v>
      </c>
      <c r="D310" t="s">
        <v>519</v>
      </c>
      <c r="E310" t="s">
        <v>880</v>
      </c>
      <c r="F310" t="s">
        <v>1241</v>
      </c>
      <c r="G310">
        <v>0</v>
      </c>
      <c r="H310">
        <v>0</v>
      </c>
      <c r="I310">
        <v>1</v>
      </c>
      <c r="J310">
        <v>1</v>
      </c>
      <c r="K310">
        <v>0</v>
      </c>
      <c r="L310">
        <f t="shared" si="8"/>
        <v>1</v>
      </c>
      <c r="M310">
        <f t="shared" si="9"/>
        <v>1</v>
      </c>
    </row>
    <row r="311" spans="1:13" x14ac:dyDescent="0.3">
      <c r="A311" t="s">
        <v>180</v>
      </c>
      <c r="B311">
        <v>13</v>
      </c>
      <c r="C311" t="s">
        <v>209</v>
      </c>
      <c r="D311" t="s">
        <v>520</v>
      </c>
      <c r="E311" t="s">
        <v>881</v>
      </c>
      <c r="F311" t="s">
        <v>1242</v>
      </c>
      <c r="G311">
        <v>0</v>
      </c>
      <c r="H311">
        <v>0</v>
      </c>
      <c r="I311">
        <v>1</v>
      </c>
      <c r="J311">
        <v>0</v>
      </c>
      <c r="K311">
        <v>0</v>
      </c>
      <c r="L311">
        <f t="shared" si="8"/>
        <v>1</v>
      </c>
      <c r="M311">
        <f t="shared" si="9"/>
        <v>1</v>
      </c>
    </row>
    <row r="312" spans="1:13" x14ac:dyDescent="0.3">
      <c r="A312" t="s">
        <v>181</v>
      </c>
      <c r="B312">
        <v>13</v>
      </c>
      <c r="C312" t="s">
        <v>208</v>
      </c>
      <c r="D312" t="s">
        <v>521</v>
      </c>
      <c r="E312" t="s">
        <v>882</v>
      </c>
      <c r="F312" t="s">
        <v>1243</v>
      </c>
      <c r="G312">
        <v>3</v>
      </c>
      <c r="H312">
        <v>10</v>
      </c>
      <c r="I312">
        <v>4</v>
      </c>
      <c r="J312">
        <v>1</v>
      </c>
      <c r="K312">
        <v>1</v>
      </c>
      <c r="L312">
        <f t="shared" si="8"/>
        <v>0</v>
      </c>
      <c r="M312">
        <f t="shared" si="9"/>
        <v>1</v>
      </c>
    </row>
    <row r="313" spans="1:13" x14ac:dyDescent="0.3">
      <c r="A313" t="s">
        <v>181</v>
      </c>
      <c r="B313">
        <v>13</v>
      </c>
      <c r="C313" t="s">
        <v>209</v>
      </c>
      <c r="D313" t="s">
        <v>522</v>
      </c>
      <c r="E313" t="s">
        <v>883</v>
      </c>
      <c r="F313" t="s">
        <v>1244</v>
      </c>
      <c r="G313">
        <v>4</v>
      </c>
      <c r="H313">
        <v>10</v>
      </c>
      <c r="I313">
        <v>4</v>
      </c>
      <c r="J313">
        <v>3</v>
      </c>
      <c r="K313">
        <v>8</v>
      </c>
      <c r="L313">
        <f t="shared" si="8"/>
        <v>0</v>
      </c>
      <c r="M313">
        <f t="shared" si="9"/>
        <v>0</v>
      </c>
    </row>
    <row r="314" spans="1:13" x14ac:dyDescent="0.3">
      <c r="A314" t="s">
        <v>182</v>
      </c>
      <c r="B314">
        <v>13</v>
      </c>
      <c r="C314" t="s">
        <v>208</v>
      </c>
      <c r="D314" t="s">
        <v>523</v>
      </c>
      <c r="E314" t="s">
        <v>884</v>
      </c>
      <c r="F314" t="s">
        <v>1245</v>
      </c>
      <c r="G314">
        <v>0</v>
      </c>
      <c r="H314">
        <v>0</v>
      </c>
      <c r="I314">
        <v>1</v>
      </c>
      <c r="J314">
        <v>1</v>
      </c>
      <c r="K314">
        <v>0</v>
      </c>
      <c r="L314">
        <f t="shared" si="8"/>
        <v>1</v>
      </c>
      <c r="M314">
        <f t="shared" si="9"/>
        <v>1</v>
      </c>
    </row>
    <row r="315" spans="1:13" x14ac:dyDescent="0.3">
      <c r="A315" t="s">
        <v>182</v>
      </c>
      <c r="B315">
        <v>13</v>
      </c>
      <c r="C315" t="s">
        <v>209</v>
      </c>
      <c r="D315" t="s">
        <v>524</v>
      </c>
      <c r="E315" t="s">
        <v>885</v>
      </c>
      <c r="F315" t="s">
        <v>1246</v>
      </c>
      <c r="G315">
        <v>0</v>
      </c>
      <c r="H315">
        <v>0</v>
      </c>
      <c r="I315">
        <v>1</v>
      </c>
      <c r="J315">
        <v>1</v>
      </c>
      <c r="K315">
        <v>0</v>
      </c>
      <c r="L315">
        <f t="shared" si="8"/>
        <v>1</v>
      </c>
      <c r="M315">
        <f t="shared" si="9"/>
        <v>1</v>
      </c>
    </row>
    <row r="316" spans="1:13" x14ac:dyDescent="0.3">
      <c r="A316" t="s">
        <v>183</v>
      </c>
      <c r="B316">
        <v>13</v>
      </c>
      <c r="C316" t="s">
        <v>209</v>
      </c>
      <c r="D316" t="s">
        <v>525</v>
      </c>
      <c r="E316" t="s">
        <v>886</v>
      </c>
      <c r="F316" t="s">
        <v>1247</v>
      </c>
      <c r="G316">
        <v>1</v>
      </c>
      <c r="H316">
        <v>3</v>
      </c>
      <c r="I316">
        <v>3</v>
      </c>
      <c r="J316">
        <v>2</v>
      </c>
      <c r="K316">
        <v>1</v>
      </c>
      <c r="L316">
        <f t="shared" si="8"/>
        <v>0</v>
      </c>
      <c r="M316">
        <f t="shared" si="9"/>
        <v>1</v>
      </c>
    </row>
    <row r="317" spans="1:13" x14ac:dyDescent="0.3">
      <c r="A317" t="s">
        <v>184</v>
      </c>
      <c r="B317">
        <v>13</v>
      </c>
      <c r="C317" t="s">
        <v>208</v>
      </c>
      <c r="D317" t="s">
        <v>526</v>
      </c>
      <c r="E317" t="s">
        <v>887</v>
      </c>
      <c r="F317" t="s">
        <v>1248</v>
      </c>
      <c r="G317">
        <v>0</v>
      </c>
      <c r="H317">
        <v>0</v>
      </c>
      <c r="I317">
        <v>1</v>
      </c>
      <c r="J317">
        <v>1</v>
      </c>
      <c r="K317">
        <v>0</v>
      </c>
      <c r="L317">
        <f t="shared" si="8"/>
        <v>1</v>
      </c>
      <c r="M317">
        <f t="shared" si="9"/>
        <v>1</v>
      </c>
    </row>
    <row r="318" spans="1:13" x14ac:dyDescent="0.3">
      <c r="A318" t="s">
        <v>184</v>
      </c>
      <c r="B318">
        <v>13</v>
      </c>
      <c r="C318" t="s">
        <v>209</v>
      </c>
      <c r="D318" t="s">
        <v>527</v>
      </c>
      <c r="E318" t="s">
        <v>888</v>
      </c>
      <c r="F318" t="s">
        <v>1249</v>
      </c>
      <c r="G318">
        <v>4</v>
      </c>
      <c r="H318">
        <v>10</v>
      </c>
      <c r="I318">
        <v>4</v>
      </c>
      <c r="J318">
        <v>3</v>
      </c>
      <c r="K318">
        <v>4</v>
      </c>
      <c r="L318">
        <f t="shared" si="8"/>
        <v>0</v>
      </c>
      <c r="M318">
        <f t="shared" si="9"/>
        <v>0</v>
      </c>
    </row>
    <row r="319" spans="1:13" x14ac:dyDescent="0.3">
      <c r="A319" t="s">
        <v>185</v>
      </c>
      <c r="B319">
        <v>13</v>
      </c>
      <c r="C319" t="s">
        <v>208</v>
      </c>
      <c r="D319" t="s">
        <v>528</v>
      </c>
      <c r="E319" t="s">
        <v>889</v>
      </c>
      <c r="F319" t="s">
        <v>1250</v>
      </c>
      <c r="G319">
        <v>4</v>
      </c>
      <c r="H319">
        <v>8</v>
      </c>
      <c r="I319">
        <v>4</v>
      </c>
      <c r="J319">
        <v>3</v>
      </c>
      <c r="K319">
        <v>7</v>
      </c>
      <c r="L319">
        <f t="shared" si="8"/>
        <v>0</v>
      </c>
      <c r="M319">
        <f t="shared" si="9"/>
        <v>0</v>
      </c>
    </row>
    <row r="320" spans="1:13" x14ac:dyDescent="0.3">
      <c r="A320" t="s">
        <v>185</v>
      </c>
      <c r="B320">
        <v>13</v>
      </c>
      <c r="C320" t="s">
        <v>209</v>
      </c>
      <c r="D320" t="s">
        <v>529</v>
      </c>
      <c r="E320" t="s">
        <v>890</v>
      </c>
      <c r="F320" t="s">
        <v>1251</v>
      </c>
      <c r="G320">
        <v>4</v>
      </c>
      <c r="H320">
        <v>8</v>
      </c>
      <c r="I320">
        <v>4</v>
      </c>
      <c r="J320">
        <v>2</v>
      </c>
      <c r="K320">
        <v>4</v>
      </c>
      <c r="L320">
        <f t="shared" si="8"/>
        <v>0</v>
      </c>
      <c r="M320">
        <f t="shared" si="9"/>
        <v>0</v>
      </c>
    </row>
    <row r="321" spans="1:13" x14ac:dyDescent="0.3">
      <c r="A321" t="s">
        <v>186</v>
      </c>
      <c r="B321">
        <v>13</v>
      </c>
      <c r="C321" t="s">
        <v>208</v>
      </c>
      <c r="D321" t="s">
        <v>530</v>
      </c>
      <c r="E321" t="s">
        <v>891</v>
      </c>
      <c r="F321" t="s">
        <v>1252</v>
      </c>
      <c r="G321">
        <v>3</v>
      </c>
      <c r="H321">
        <v>3</v>
      </c>
      <c r="I321">
        <v>2</v>
      </c>
      <c r="J321">
        <v>3</v>
      </c>
      <c r="K321">
        <v>8</v>
      </c>
      <c r="L321">
        <f t="shared" si="8"/>
        <v>0</v>
      </c>
      <c r="M321">
        <f t="shared" si="9"/>
        <v>0</v>
      </c>
    </row>
    <row r="322" spans="1:13" x14ac:dyDescent="0.3">
      <c r="A322" t="s">
        <v>186</v>
      </c>
      <c r="B322">
        <v>13</v>
      </c>
      <c r="C322" t="s">
        <v>209</v>
      </c>
      <c r="D322" t="s">
        <v>531</v>
      </c>
      <c r="E322" t="s">
        <v>892</v>
      </c>
      <c r="F322" t="s">
        <v>1253</v>
      </c>
      <c r="G322">
        <v>4</v>
      </c>
      <c r="H322">
        <v>10</v>
      </c>
      <c r="I322">
        <v>4</v>
      </c>
      <c r="J322">
        <v>2</v>
      </c>
      <c r="K322">
        <v>5</v>
      </c>
      <c r="L322">
        <f t="shared" si="8"/>
        <v>0</v>
      </c>
      <c r="M322">
        <f t="shared" si="9"/>
        <v>0</v>
      </c>
    </row>
    <row r="323" spans="1:13" x14ac:dyDescent="0.3">
      <c r="A323" t="s">
        <v>187</v>
      </c>
      <c r="B323">
        <v>13</v>
      </c>
      <c r="C323" t="s">
        <v>208</v>
      </c>
      <c r="D323" t="s">
        <v>532</v>
      </c>
      <c r="E323" t="s">
        <v>893</v>
      </c>
      <c r="F323" t="s">
        <v>1254</v>
      </c>
      <c r="G323">
        <v>1</v>
      </c>
      <c r="H323">
        <v>0</v>
      </c>
      <c r="I323">
        <v>1</v>
      </c>
      <c r="J323">
        <v>1</v>
      </c>
      <c r="K323">
        <v>1</v>
      </c>
      <c r="L323">
        <f t="shared" ref="L323:L361" si="10">IF(G323=0,1,0)</f>
        <v>0</v>
      </c>
      <c r="M323">
        <f t="shared" ref="M323:M361" si="11">IF(K323&lt;4,1,0)</f>
        <v>1</v>
      </c>
    </row>
    <row r="324" spans="1:13" x14ac:dyDescent="0.3">
      <c r="A324" t="s">
        <v>187</v>
      </c>
      <c r="B324">
        <v>13</v>
      </c>
      <c r="C324" t="s">
        <v>209</v>
      </c>
      <c r="D324" t="s">
        <v>533</v>
      </c>
      <c r="E324" t="s">
        <v>894</v>
      </c>
      <c r="F324" t="s">
        <v>1255</v>
      </c>
      <c r="G324">
        <v>2</v>
      </c>
      <c r="H324">
        <v>1</v>
      </c>
      <c r="I324">
        <v>1</v>
      </c>
      <c r="J324">
        <v>2</v>
      </c>
      <c r="K324">
        <v>8</v>
      </c>
      <c r="L324">
        <f t="shared" si="10"/>
        <v>0</v>
      </c>
      <c r="M324">
        <f t="shared" si="11"/>
        <v>0</v>
      </c>
    </row>
    <row r="325" spans="1:13" x14ac:dyDescent="0.3">
      <c r="A325" t="s">
        <v>188</v>
      </c>
      <c r="B325">
        <v>13</v>
      </c>
      <c r="C325" t="s">
        <v>208</v>
      </c>
      <c r="D325" t="s">
        <v>534</v>
      </c>
      <c r="E325" t="s">
        <v>895</v>
      </c>
      <c r="F325" t="s">
        <v>1256</v>
      </c>
      <c r="G325">
        <v>2</v>
      </c>
      <c r="H325">
        <v>4</v>
      </c>
      <c r="I325">
        <v>3</v>
      </c>
      <c r="J325">
        <v>6</v>
      </c>
      <c r="K325">
        <v>14</v>
      </c>
      <c r="L325">
        <f t="shared" si="10"/>
        <v>0</v>
      </c>
      <c r="M325">
        <f t="shared" si="11"/>
        <v>0</v>
      </c>
    </row>
    <row r="326" spans="1:13" x14ac:dyDescent="0.3">
      <c r="A326" t="s">
        <v>188</v>
      </c>
      <c r="B326">
        <v>13</v>
      </c>
      <c r="C326" t="s">
        <v>209</v>
      </c>
      <c r="D326" t="s">
        <v>535</v>
      </c>
      <c r="E326" t="s">
        <v>896</v>
      </c>
      <c r="F326" t="s">
        <v>1257</v>
      </c>
      <c r="G326">
        <v>2</v>
      </c>
      <c r="H326">
        <v>7</v>
      </c>
      <c r="I326">
        <v>3</v>
      </c>
      <c r="J326">
        <v>3</v>
      </c>
      <c r="K326">
        <v>8</v>
      </c>
      <c r="L326">
        <f t="shared" si="10"/>
        <v>0</v>
      </c>
      <c r="M326">
        <f t="shared" si="11"/>
        <v>0</v>
      </c>
    </row>
    <row r="327" spans="1:13" x14ac:dyDescent="0.3">
      <c r="A327" t="s">
        <v>189</v>
      </c>
      <c r="B327">
        <v>13</v>
      </c>
      <c r="C327" t="s">
        <v>208</v>
      </c>
      <c r="D327" t="s">
        <v>536</v>
      </c>
      <c r="E327" t="s">
        <v>897</v>
      </c>
      <c r="F327" t="s">
        <v>1258</v>
      </c>
      <c r="G327">
        <v>0</v>
      </c>
      <c r="H327">
        <v>0</v>
      </c>
      <c r="I327">
        <v>1</v>
      </c>
      <c r="J327">
        <v>1</v>
      </c>
      <c r="K327">
        <v>0</v>
      </c>
      <c r="L327">
        <f t="shared" si="10"/>
        <v>1</v>
      </c>
      <c r="M327">
        <f t="shared" si="11"/>
        <v>1</v>
      </c>
    </row>
    <row r="328" spans="1:13" x14ac:dyDescent="0.3">
      <c r="A328" t="s">
        <v>189</v>
      </c>
      <c r="B328">
        <v>13</v>
      </c>
      <c r="C328" t="s">
        <v>209</v>
      </c>
      <c r="D328" t="s">
        <v>537</v>
      </c>
      <c r="E328" t="s">
        <v>898</v>
      </c>
      <c r="F328" t="s">
        <v>1259</v>
      </c>
      <c r="G328">
        <v>0</v>
      </c>
      <c r="H328">
        <v>0</v>
      </c>
      <c r="I328">
        <v>1</v>
      </c>
      <c r="J328">
        <v>0</v>
      </c>
      <c r="K328">
        <v>0</v>
      </c>
      <c r="L328">
        <f t="shared" si="10"/>
        <v>1</v>
      </c>
      <c r="M328">
        <f t="shared" si="11"/>
        <v>1</v>
      </c>
    </row>
    <row r="329" spans="1:13" x14ac:dyDescent="0.3">
      <c r="A329" t="s">
        <v>190</v>
      </c>
      <c r="B329">
        <v>13</v>
      </c>
      <c r="C329" t="s">
        <v>208</v>
      </c>
      <c r="D329" t="s">
        <v>538</v>
      </c>
      <c r="E329" t="s">
        <v>899</v>
      </c>
      <c r="F329" t="s">
        <v>1260</v>
      </c>
      <c r="G329">
        <v>0</v>
      </c>
      <c r="H329">
        <v>0</v>
      </c>
      <c r="I329">
        <v>1</v>
      </c>
      <c r="J329">
        <v>0</v>
      </c>
      <c r="K329">
        <v>0</v>
      </c>
      <c r="L329">
        <f t="shared" si="10"/>
        <v>1</v>
      </c>
      <c r="M329">
        <f t="shared" si="11"/>
        <v>1</v>
      </c>
    </row>
    <row r="330" spans="1:13" x14ac:dyDescent="0.3">
      <c r="A330" t="s">
        <v>190</v>
      </c>
      <c r="B330">
        <v>13</v>
      </c>
      <c r="C330" t="s">
        <v>209</v>
      </c>
      <c r="D330" t="s">
        <v>539</v>
      </c>
      <c r="E330" t="s">
        <v>900</v>
      </c>
      <c r="F330" t="s">
        <v>1261</v>
      </c>
      <c r="G330">
        <v>0</v>
      </c>
      <c r="H330">
        <v>0</v>
      </c>
      <c r="I330">
        <v>1</v>
      </c>
      <c r="J330">
        <v>0</v>
      </c>
      <c r="K330">
        <v>0</v>
      </c>
      <c r="L330">
        <f t="shared" si="10"/>
        <v>1</v>
      </c>
      <c r="M330">
        <f t="shared" si="11"/>
        <v>1</v>
      </c>
    </row>
    <row r="331" spans="1:13" x14ac:dyDescent="0.3">
      <c r="A331" t="s">
        <v>191</v>
      </c>
      <c r="B331">
        <v>13</v>
      </c>
      <c r="C331" t="s">
        <v>208</v>
      </c>
      <c r="D331" t="s">
        <v>540</v>
      </c>
      <c r="E331" t="s">
        <v>901</v>
      </c>
      <c r="F331" t="s">
        <v>1262</v>
      </c>
      <c r="G331">
        <v>0</v>
      </c>
      <c r="H331">
        <v>0</v>
      </c>
      <c r="I331">
        <v>1</v>
      </c>
      <c r="J331">
        <v>1</v>
      </c>
      <c r="K331">
        <v>0</v>
      </c>
      <c r="L331">
        <f t="shared" si="10"/>
        <v>1</v>
      </c>
      <c r="M331">
        <f t="shared" si="11"/>
        <v>1</v>
      </c>
    </row>
    <row r="332" spans="1:13" x14ac:dyDescent="0.3">
      <c r="A332" t="s">
        <v>191</v>
      </c>
      <c r="B332">
        <v>13</v>
      </c>
      <c r="C332" t="s">
        <v>209</v>
      </c>
      <c r="D332" t="s">
        <v>541</v>
      </c>
      <c r="E332" t="s">
        <v>902</v>
      </c>
      <c r="F332" t="s">
        <v>1263</v>
      </c>
      <c r="G332">
        <v>0</v>
      </c>
      <c r="H332">
        <v>0</v>
      </c>
      <c r="I332">
        <v>1</v>
      </c>
      <c r="J332">
        <v>0</v>
      </c>
      <c r="K332">
        <v>0</v>
      </c>
      <c r="L332">
        <f t="shared" si="10"/>
        <v>1</v>
      </c>
      <c r="M332">
        <f t="shared" si="11"/>
        <v>1</v>
      </c>
    </row>
    <row r="333" spans="1:13" x14ac:dyDescent="0.3">
      <c r="A333" t="s">
        <v>192</v>
      </c>
      <c r="B333">
        <v>13</v>
      </c>
      <c r="C333" t="s">
        <v>208</v>
      </c>
      <c r="D333" t="s">
        <v>542</v>
      </c>
      <c r="E333" t="s">
        <v>903</v>
      </c>
      <c r="F333" t="s">
        <v>1264</v>
      </c>
      <c r="G333">
        <v>0</v>
      </c>
      <c r="H333">
        <v>0</v>
      </c>
      <c r="I333">
        <v>1</v>
      </c>
      <c r="J333">
        <v>0</v>
      </c>
      <c r="K333">
        <v>3</v>
      </c>
      <c r="L333">
        <f t="shared" si="10"/>
        <v>1</v>
      </c>
      <c r="M333">
        <f t="shared" si="11"/>
        <v>1</v>
      </c>
    </row>
    <row r="334" spans="1:13" x14ac:dyDescent="0.3">
      <c r="A334" t="s">
        <v>192</v>
      </c>
      <c r="B334">
        <v>13</v>
      </c>
      <c r="C334" t="s">
        <v>209</v>
      </c>
      <c r="D334" t="s">
        <v>543</v>
      </c>
      <c r="E334" t="s">
        <v>904</v>
      </c>
      <c r="F334" t="s">
        <v>1265</v>
      </c>
      <c r="G334">
        <v>0</v>
      </c>
      <c r="H334">
        <v>0</v>
      </c>
      <c r="I334">
        <v>1</v>
      </c>
      <c r="J334">
        <v>0</v>
      </c>
      <c r="K334">
        <v>1</v>
      </c>
      <c r="L334">
        <f t="shared" si="10"/>
        <v>1</v>
      </c>
      <c r="M334">
        <f t="shared" si="11"/>
        <v>1</v>
      </c>
    </row>
    <row r="335" spans="1:13" x14ac:dyDescent="0.3">
      <c r="A335" t="s">
        <v>193</v>
      </c>
      <c r="B335">
        <v>13</v>
      </c>
      <c r="C335" t="s">
        <v>208</v>
      </c>
      <c r="D335" t="s">
        <v>544</v>
      </c>
      <c r="E335" t="s">
        <v>905</v>
      </c>
      <c r="F335" t="s">
        <v>1266</v>
      </c>
      <c r="G335">
        <v>0</v>
      </c>
      <c r="H335">
        <v>0</v>
      </c>
      <c r="I335">
        <v>1</v>
      </c>
      <c r="J335">
        <v>0</v>
      </c>
      <c r="K335">
        <v>0</v>
      </c>
      <c r="L335">
        <f t="shared" si="10"/>
        <v>1</v>
      </c>
      <c r="M335">
        <f t="shared" si="11"/>
        <v>1</v>
      </c>
    </row>
    <row r="336" spans="1:13" x14ac:dyDescent="0.3">
      <c r="A336" t="s">
        <v>193</v>
      </c>
      <c r="B336">
        <v>13</v>
      </c>
      <c r="C336" t="s">
        <v>209</v>
      </c>
      <c r="D336" t="s">
        <v>545</v>
      </c>
      <c r="E336" t="s">
        <v>906</v>
      </c>
      <c r="F336" t="s">
        <v>1267</v>
      </c>
      <c r="G336">
        <v>0</v>
      </c>
      <c r="H336">
        <v>0</v>
      </c>
      <c r="I336">
        <v>1</v>
      </c>
      <c r="J336">
        <v>0</v>
      </c>
      <c r="K336">
        <v>0</v>
      </c>
      <c r="L336">
        <f t="shared" si="10"/>
        <v>1</v>
      </c>
      <c r="M336">
        <f t="shared" si="11"/>
        <v>1</v>
      </c>
    </row>
    <row r="337" spans="1:13" x14ac:dyDescent="0.3">
      <c r="A337" t="s">
        <v>194</v>
      </c>
      <c r="B337">
        <v>13</v>
      </c>
      <c r="C337" t="s">
        <v>208</v>
      </c>
      <c r="D337" t="s">
        <v>546</v>
      </c>
      <c r="E337" t="s">
        <v>907</v>
      </c>
      <c r="F337" t="s">
        <v>1268</v>
      </c>
      <c r="G337">
        <v>0</v>
      </c>
      <c r="H337">
        <v>0</v>
      </c>
      <c r="I337">
        <v>1</v>
      </c>
      <c r="J337">
        <v>0</v>
      </c>
      <c r="K337">
        <v>0</v>
      </c>
      <c r="L337">
        <f t="shared" si="10"/>
        <v>1</v>
      </c>
      <c r="M337">
        <f t="shared" si="11"/>
        <v>1</v>
      </c>
    </row>
    <row r="338" spans="1:13" x14ac:dyDescent="0.3">
      <c r="A338" t="s">
        <v>194</v>
      </c>
      <c r="B338">
        <v>13</v>
      </c>
      <c r="C338" t="s">
        <v>209</v>
      </c>
      <c r="D338" t="s">
        <v>547</v>
      </c>
      <c r="E338" t="s">
        <v>908</v>
      </c>
      <c r="F338" t="s">
        <v>1269</v>
      </c>
      <c r="G338">
        <v>0</v>
      </c>
      <c r="H338">
        <v>0</v>
      </c>
      <c r="I338">
        <v>1</v>
      </c>
      <c r="J338">
        <v>0</v>
      </c>
      <c r="K338">
        <v>0</v>
      </c>
      <c r="L338">
        <f t="shared" si="10"/>
        <v>1</v>
      </c>
      <c r="M338">
        <f t="shared" si="11"/>
        <v>1</v>
      </c>
    </row>
    <row r="339" spans="1:13" x14ac:dyDescent="0.3">
      <c r="A339" t="s">
        <v>195</v>
      </c>
      <c r="B339">
        <v>13</v>
      </c>
      <c r="C339" t="s">
        <v>208</v>
      </c>
      <c r="D339" t="s">
        <v>548</v>
      </c>
      <c r="E339" t="s">
        <v>909</v>
      </c>
      <c r="F339" t="s">
        <v>1270</v>
      </c>
      <c r="G339">
        <v>2</v>
      </c>
      <c r="H339">
        <v>3</v>
      </c>
      <c r="I339">
        <v>3</v>
      </c>
      <c r="J339">
        <v>1</v>
      </c>
      <c r="K339">
        <v>3</v>
      </c>
      <c r="L339">
        <f t="shared" si="10"/>
        <v>0</v>
      </c>
      <c r="M339">
        <f t="shared" si="11"/>
        <v>1</v>
      </c>
    </row>
    <row r="340" spans="1:13" x14ac:dyDescent="0.3">
      <c r="A340" t="s">
        <v>195</v>
      </c>
      <c r="B340">
        <v>13</v>
      </c>
      <c r="C340" t="s">
        <v>209</v>
      </c>
      <c r="D340" t="s">
        <v>549</v>
      </c>
      <c r="E340" t="s">
        <v>910</v>
      </c>
      <c r="F340" t="s">
        <v>1271</v>
      </c>
      <c r="G340">
        <v>4</v>
      </c>
      <c r="H340">
        <v>3</v>
      </c>
      <c r="I340">
        <v>3</v>
      </c>
      <c r="J340">
        <v>0</v>
      </c>
      <c r="K340">
        <v>1</v>
      </c>
      <c r="L340">
        <f t="shared" si="10"/>
        <v>0</v>
      </c>
      <c r="M340">
        <f t="shared" si="11"/>
        <v>1</v>
      </c>
    </row>
    <row r="341" spans="1:13" x14ac:dyDescent="0.3">
      <c r="A341" t="s">
        <v>196</v>
      </c>
      <c r="B341">
        <v>13</v>
      </c>
      <c r="C341" t="s">
        <v>208</v>
      </c>
      <c r="D341" t="s">
        <v>550</v>
      </c>
      <c r="E341" t="s">
        <v>911</v>
      </c>
      <c r="F341" t="s">
        <v>1272</v>
      </c>
      <c r="G341">
        <v>3</v>
      </c>
      <c r="H341">
        <v>7</v>
      </c>
      <c r="I341">
        <v>3</v>
      </c>
      <c r="J341">
        <v>2</v>
      </c>
      <c r="K341">
        <v>3</v>
      </c>
      <c r="L341">
        <f t="shared" si="10"/>
        <v>0</v>
      </c>
      <c r="M341">
        <f t="shared" si="11"/>
        <v>1</v>
      </c>
    </row>
    <row r="342" spans="1:13" x14ac:dyDescent="0.3">
      <c r="A342" t="s">
        <v>196</v>
      </c>
      <c r="B342">
        <v>13</v>
      </c>
      <c r="C342" t="s">
        <v>209</v>
      </c>
      <c r="D342" t="s">
        <v>551</v>
      </c>
      <c r="E342" t="s">
        <v>912</v>
      </c>
      <c r="F342" t="s">
        <v>1273</v>
      </c>
      <c r="G342">
        <v>0</v>
      </c>
      <c r="H342">
        <v>0</v>
      </c>
      <c r="I342">
        <v>1</v>
      </c>
      <c r="J342">
        <v>0</v>
      </c>
      <c r="K342">
        <v>0</v>
      </c>
      <c r="L342">
        <f t="shared" si="10"/>
        <v>1</v>
      </c>
      <c r="M342">
        <f t="shared" si="11"/>
        <v>1</v>
      </c>
    </row>
    <row r="343" spans="1:13" x14ac:dyDescent="0.3">
      <c r="A343" t="s">
        <v>197</v>
      </c>
      <c r="B343">
        <v>13</v>
      </c>
      <c r="C343" t="s">
        <v>208</v>
      </c>
      <c r="D343" t="s">
        <v>552</v>
      </c>
      <c r="E343" t="s">
        <v>913</v>
      </c>
      <c r="F343" t="s">
        <v>1274</v>
      </c>
      <c r="G343">
        <v>2</v>
      </c>
      <c r="H343">
        <v>2</v>
      </c>
      <c r="I343">
        <v>3</v>
      </c>
      <c r="J343">
        <v>1</v>
      </c>
      <c r="K343">
        <v>1</v>
      </c>
      <c r="L343">
        <f t="shared" si="10"/>
        <v>0</v>
      </c>
      <c r="M343">
        <f t="shared" si="11"/>
        <v>1</v>
      </c>
    </row>
    <row r="344" spans="1:13" x14ac:dyDescent="0.3">
      <c r="A344" t="s">
        <v>197</v>
      </c>
      <c r="B344">
        <v>13</v>
      </c>
      <c r="C344" t="s">
        <v>209</v>
      </c>
      <c r="D344" t="s">
        <v>553</v>
      </c>
      <c r="E344" t="s">
        <v>914</v>
      </c>
      <c r="F344" t="s">
        <v>1275</v>
      </c>
      <c r="G344">
        <v>0</v>
      </c>
      <c r="H344">
        <v>0</v>
      </c>
      <c r="I344">
        <v>1</v>
      </c>
      <c r="J344">
        <v>0</v>
      </c>
      <c r="K344">
        <v>0</v>
      </c>
      <c r="L344">
        <f t="shared" si="10"/>
        <v>1</v>
      </c>
      <c r="M344">
        <f t="shared" si="11"/>
        <v>1</v>
      </c>
    </row>
    <row r="345" spans="1:13" x14ac:dyDescent="0.3">
      <c r="A345" t="s">
        <v>198</v>
      </c>
      <c r="B345">
        <v>13</v>
      </c>
      <c r="C345" t="s">
        <v>208</v>
      </c>
      <c r="D345" t="s">
        <v>554</v>
      </c>
      <c r="E345" t="s">
        <v>915</v>
      </c>
      <c r="F345" t="s">
        <v>1276</v>
      </c>
      <c r="G345">
        <v>0</v>
      </c>
      <c r="H345">
        <v>0</v>
      </c>
      <c r="I345">
        <v>1</v>
      </c>
      <c r="J345">
        <v>1</v>
      </c>
      <c r="K345">
        <v>0</v>
      </c>
      <c r="L345">
        <f t="shared" si="10"/>
        <v>1</v>
      </c>
      <c r="M345">
        <f t="shared" si="11"/>
        <v>1</v>
      </c>
    </row>
    <row r="346" spans="1:13" x14ac:dyDescent="0.3">
      <c r="A346" t="s">
        <v>198</v>
      </c>
      <c r="B346">
        <v>13</v>
      </c>
      <c r="C346" t="s">
        <v>209</v>
      </c>
      <c r="D346" t="s">
        <v>555</v>
      </c>
      <c r="E346" t="s">
        <v>916</v>
      </c>
      <c r="F346" t="s">
        <v>1277</v>
      </c>
      <c r="G346">
        <v>1</v>
      </c>
      <c r="H346">
        <v>3</v>
      </c>
      <c r="I346">
        <v>3</v>
      </c>
      <c r="J346">
        <v>2</v>
      </c>
      <c r="K346">
        <v>5</v>
      </c>
      <c r="L346">
        <f t="shared" si="10"/>
        <v>0</v>
      </c>
      <c r="M346">
        <f t="shared" si="11"/>
        <v>0</v>
      </c>
    </row>
    <row r="347" spans="1:13" x14ac:dyDescent="0.3">
      <c r="A347" t="s">
        <v>199</v>
      </c>
      <c r="B347">
        <v>13</v>
      </c>
      <c r="C347" t="s">
        <v>208</v>
      </c>
      <c r="D347" t="s">
        <v>556</v>
      </c>
      <c r="E347" t="s">
        <v>917</v>
      </c>
      <c r="F347" t="s">
        <v>1278</v>
      </c>
      <c r="G347">
        <v>1</v>
      </c>
      <c r="H347">
        <v>0</v>
      </c>
      <c r="I347">
        <v>1</v>
      </c>
      <c r="J347">
        <v>1</v>
      </c>
      <c r="K347">
        <v>1</v>
      </c>
      <c r="L347">
        <f t="shared" si="10"/>
        <v>0</v>
      </c>
      <c r="M347">
        <f t="shared" si="11"/>
        <v>1</v>
      </c>
    </row>
    <row r="348" spans="1:13" x14ac:dyDescent="0.3">
      <c r="A348" t="s">
        <v>199</v>
      </c>
      <c r="B348">
        <v>13</v>
      </c>
      <c r="C348" t="s">
        <v>209</v>
      </c>
      <c r="D348" t="s">
        <v>557</v>
      </c>
      <c r="E348" t="s">
        <v>918</v>
      </c>
      <c r="F348" t="s">
        <v>1279</v>
      </c>
      <c r="G348">
        <v>4</v>
      </c>
      <c r="H348">
        <v>11</v>
      </c>
      <c r="I348">
        <v>5</v>
      </c>
      <c r="J348">
        <v>3</v>
      </c>
      <c r="K348">
        <v>9</v>
      </c>
      <c r="L348">
        <f t="shared" si="10"/>
        <v>0</v>
      </c>
      <c r="M348">
        <f t="shared" si="11"/>
        <v>0</v>
      </c>
    </row>
    <row r="349" spans="1:13" x14ac:dyDescent="0.3">
      <c r="A349" t="s">
        <v>200</v>
      </c>
      <c r="B349">
        <v>13</v>
      </c>
      <c r="C349" t="s">
        <v>208</v>
      </c>
      <c r="D349" t="s">
        <v>558</v>
      </c>
      <c r="E349" t="s">
        <v>919</v>
      </c>
      <c r="F349" t="s">
        <v>1280</v>
      </c>
      <c r="G349">
        <v>3</v>
      </c>
      <c r="H349">
        <v>3</v>
      </c>
      <c r="I349">
        <v>3</v>
      </c>
      <c r="J349">
        <v>1</v>
      </c>
      <c r="K349">
        <v>1</v>
      </c>
      <c r="L349">
        <f t="shared" si="10"/>
        <v>0</v>
      </c>
      <c r="M349">
        <f t="shared" si="11"/>
        <v>1</v>
      </c>
    </row>
    <row r="350" spans="1:13" x14ac:dyDescent="0.3">
      <c r="A350" t="s">
        <v>200</v>
      </c>
      <c r="B350">
        <v>13</v>
      </c>
      <c r="C350" t="s">
        <v>209</v>
      </c>
      <c r="D350" t="s">
        <v>559</v>
      </c>
      <c r="E350" t="s">
        <v>920</v>
      </c>
      <c r="F350" t="s">
        <v>1281</v>
      </c>
      <c r="G350">
        <v>0</v>
      </c>
      <c r="H350">
        <v>1</v>
      </c>
      <c r="I350">
        <v>1</v>
      </c>
      <c r="J350">
        <v>0</v>
      </c>
      <c r="K350">
        <v>0</v>
      </c>
      <c r="L350">
        <f t="shared" si="10"/>
        <v>1</v>
      </c>
      <c r="M350">
        <f t="shared" si="11"/>
        <v>1</v>
      </c>
    </row>
    <row r="351" spans="1:13" x14ac:dyDescent="0.3">
      <c r="A351" t="s">
        <v>201</v>
      </c>
      <c r="B351">
        <v>13</v>
      </c>
      <c r="C351" t="s">
        <v>208</v>
      </c>
      <c r="D351" t="s">
        <v>560</v>
      </c>
      <c r="E351" t="s">
        <v>921</v>
      </c>
      <c r="F351" t="s">
        <v>1282</v>
      </c>
      <c r="G351">
        <v>1</v>
      </c>
      <c r="H351">
        <v>0</v>
      </c>
      <c r="I351">
        <v>1</v>
      </c>
      <c r="J351">
        <v>1</v>
      </c>
      <c r="K351">
        <v>0</v>
      </c>
      <c r="L351">
        <f t="shared" si="10"/>
        <v>0</v>
      </c>
      <c r="M351">
        <f t="shared" si="11"/>
        <v>1</v>
      </c>
    </row>
    <row r="352" spans="1:13" x14ac:dyDescent="0.3">
      <c r="A352" t="s">
        <v>201</v>
      </c>
      <c r="B352">
        <v>13</v>
      </c>
      <c r="C352" t="s">
        <v>209</v>
      </c>
      <c r="D352" t="s">
        <v>561</v>
      </c>
      <c r="E352" t="s">
        <v>922</v>
      </c>
      <c r="F352" t="s">
        <v>1283</v>
      </c>
      <c r="G352">
        <v>4</v>
      </c>
      <c r="H352">
        <v>11</v>
      </c>
      <c r="I352">
        <v>4</v>
      </c>
      <c r="J352">
        <v>3</v>
      </c>
      <c r="K352">
        <v>8</v>
      </c>
      <c r="L352">
        <f t="shared" si="10"/>
        <v>0</v>
      </c>
      <c r="M352">
        <f t="shared" si="11"/>
        <v>0</v>
      </c>
    </row>
    <row r="353" spans="1:13" x14ac:dyDescent="0.3">
      <c r="A353" t="s">
        <v>202</v>
      </c>
      <c r="B353">
        <v>13</v>
      </c>
      <c r="C353" t="s">
        <v>209</v>
      </c>
      <c r="D353" t="s">
        <v>562</v>
      </c>
      <c r="E353" t="s">
        <v>923</v>
      </c>
      <c r="F353" t="s">
        <v>1284</v>
      </c>
      <c r="G353">
        <v>0</v>
      </c>
      <c r="H353">
        <v>0</v>
      </c>
      <c r="I353">
        <v>1</v>
      </c>
      <c r="J353">
        <v>0</v>
      </c>
      <c r="K353">
        <v>0</v>
      </c>
      <c r="L353">
        <f t="shared" si="10"/>
        <v>1</v>
      </c>
      <c r="M353">
        <f t="shared" si="11"/>
        <v>1</v>
      </c>
    </row>
    <row r="354" spans="1:13" x14ac:dyDescent="0.3">
      <c r="A354" t="s">
        <v>203</v>
      </c>
      <c r="B354">
        <v>13</v>
      </c>
      <c r="C354" t="s">
        <v>208</v>
      </c>
      <c r="D354" t="s">
        <v>563</v>
      </c>
      <c r="E354" t="s">
        <v>924</v>
      </c>
      <c r="F354" t="s">
        <v>1285</v>
      </c>
      <c r="G354">
        <v>0</v>
      </c>
      <c r="H354">
        <v>0</v>
      </c>
      <c r="I354">
        <v>1</v>
      </c>
      <c r="J354">
        <v>1</v>
      </c>
      <c r="K354">
        <v>1</v>
      </c>
      <c r="L354">
        <f t="shared" si="10"/>
        <v>1</v>
      </c>
      <c r="M354">
        <f t="shared" si="11"/>
        <v>1</v>
      </c>
    </row>
    <row r="355" spans="1:13" x14ac:dyDescent="0.3">
      <c r="A355" t="s">
        <v>203</v>
      </c>
      <c r="B355">
        <v>13</v>
      </c>
      <c r="C355" t="s">
        <v>209</v>
      </c>
      <c r="D355" t="s">
        <v>564</v>
      </c>
      <c r="E355" t="s">
        <v>925</v>
      </c>
      <c r="F355" t="s">
        <v>1286</v>
      </c>
      <c r="G355">
        <v>0</v>
      </c>
      <c r="H355">
        <v>0</v>
      </c>
      <c r="I355">
        <v>1</v>
      </c>
      <c r="J355">
        <v>1</v>
      </c>
      <c r="K355">
        <v>0</v>
      </c>
      <c r="L355">
        <f t="shared" si="10"/>
        <v>1</v>
      </c>
      <c r="M355">
        <f t="shared" si="11"/>
        <v>1</v>
      </c>
    </row>
    <row r="356" spans="1:13" x14ac:dyDescent="0.3">
      <c r="A356" t="s">
        <v>204</v>
      </c>
      <c r="B356">
        <v>13</v>
      </c>
      <c r="C356" t="s">
        <v>208</v>
      </c>
      <c r="D356" t="s">
        <v>565</v>
      </c>
      <c r="E356" t="s">
        <v>926</v>
      </c>
      <c r="F356" t="s">
        <v>1287</v>
      </c>
      <c r="G356">
        <v>0</v>
      </c>
      <c r="H356">
        <v>0</v>
      </c>
      <c r="I356">
        <v>1</v>
      </c>
      <c r="J356">
        <v>1</v>
      </c>
      <c r="K356">
        <v>1</v>
      </c>
      <c r="L356">
        <f t="shared" si="10"/>
        <v>1</v>
      </c>
      <c r="M356">
        <f t="shared" si="11"/>
        <v>1</v>
      </c>
    </row>
    <row r="357" spans="1:13" x14ac:dyDescent="0.3">
      <c r="A357" t="s">
        <v>204</v>
      </c>
      <c r="B357">
        <v>13</v>
      </c>
      <c r="C357" t="s">
        <v>209</v>
      </c>
      <c r="D357" t="s">
        <v>566</v>
      </c>
      <c r="E357" t="s">
        <v>927</v>
      </c>
      <c r="F357" t="s">
        <v>1288</v>
      </c>
      <c r="G357">
        <v>0</v>
      </c>
      <c r="H357">
        <v>0</v>
      </c>
      <c r="I357">
        <v>1</v>
      </c>
      <c r="J357">
        <v>0</v>
      </c>
      <c r="K357">
        <v>0</v>
      </c>
      <c r="L357">
        <f t="shared" si="10"/>
        <v>1</v>
      </c>
      <c r="M357">
        <f t="shared" si="11"/>
        <v>1</v>
      </c>
    </row>
    <row r="358" spans="1:13" x14ac:dyDescent="0.3">
      <c r="A358" t="s">
        <v>205</v>
      </c>
      <c r="B358">
        <v>13</v>
      </c>
      <c r="C358" t="s">
        <v>208</v>
      </c>
      <c r="D358" t="s">
        <v>567</v>
      </c>
      <c r="E358" t="s">
        <v>928</v>
      </c>
      <c r="F358" t="s">
        <v>1289</v>
      </c>
      <c r="G358">
        <v>1</v>
      </c>
      <c r="H358">
        <v>1</v>
      </c>
      <c r="I358">
        <v>1</v>
      </c>
      <c r="J358">
        <v>1</v>
      </c>
      <c r="K358">
        <v>2</v>
      </c>
      <c r="L358">
        <f t="shared" si="10"/>
        <v>0</v>
      </c>
      <c r="M358">
        <f t="shared" si="11"/>
        <v>1</v>
      </c>
    </row>
    <row r="359" spans="1:13" x14ac:dyDescent="0.3">
      <c r="A359" t="s">
        <v>205</v>
      </c>
      <c r="B359">
        <v>13</v>
      </c>
      <c r="C359" t="s">
        <v>209</v>
      </c>
      <c r="D359" t="s">
        <v>568</v>
      </c>
      <c r="E359" t="s">
        <v>929</v>
      </c>
      <c r="F359" t="s">
        <v>1290</v>
      </c>
      <c r="G359">
        <v>2</v>
      </c>
      <c r="H359">
        <v>1</v>
      </c>
      <c r="I359">
        <v>1</v>
      </c>
      <c r="J359">
        <v>1</v>
      </c>
      <c r="K359">
        <v>1</v>
      </c>
      <c r="L359">
        <f t="shared" si="10"/>
        <v>0</v>
      </c>
      <c r="M359">
        <f t="shared" si="11"/>
        <v>1</v>
      </c>
    </row>
    <row r="360" spans="1:13" x14ac:dyDescent="0.3">
      <c r="A360" t="s">
        <v>206</v>
      </c>
      <c r="B360">
        <v>13</v>
      </c>
      <c r="C360" t="s">
        <v>208</v>
      </c>
      <c r="D360" t="s">
        <v>569</v>
      </c>
      <c r="E360" t="s">
        <v>930</v>
      </c>
      <c r="F360" t="s">
        <v>1291</v>
      </c>
      <c r="G360">
        <v>4</v>
      </c>
      <c r="H360">
        <v>9</v>
      </c>
      <c r="I360">
        <v>5</v>
      </c>
      <c r="J360">
        <v>6</v>
      </c>
      <c r="K360">
        <v>15</v>
      </c>
      <c r="L360">
        <f t="shared" si="10"/>
        <v>0</v>
      </c>
      <c r="M360">
        <f t="shared" si="11"/>
        <v>0</v>
      </c>
    </row>
    <row r="361" spans="1:13" x14ac:dyDescent="0.3">
      <c r="A361" t="s">
        <v>206</v>
      </c>
      <c r="B361">
        <v>13</v>
      </c>
      <c r="C361" t="s">
        <v>209</v>
      </c>
      <c r="D361" t="s">
        <v>570</v>
      </c>
      <c r="E361" t="s">
        <v>931</v>
      </c>
      <c r="F361" t="s">
        <v>1292</v>
      </c>
      <c r="G361">
        <v>4</v>
      </c>
      <c r="H361">
        <v>11</v>
      </c>
      <c r="I361">
        <v>4</v>
      </c>
      <c r="J361">
        <v>3</v>
      </c>
      <c r="K361">
        <v>3</v>
      </c>
      <c r="L361">
        <f t="shared" si="10"/>
        <v>0</v>
      </c>
      <c r="M361">
        <f t="shared" si="11"/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22896-F476-4DF7-A65F-D1D71F19290A}">
  <dimension ref="A3:M210"/>
  <sheetViews>
    <sheetView tabSelected="1" topLeftCell="I1" zoomScale="125" workbookViewId="0">
      <selection activeCell="K7" sqref="K7"/>
    </sheetView>
  </sheetViews>
  <sheetFormatPr baseColWidth="10" defaultRowHeight="14.4" x14ac:dyDescent="0.3"/>
  <cols>
    <col min="1" max="1" width="16.5546875" bestFit="1" customWidth="1"/>
    <col min="2" max="2" width="15.5546875" bestFit="1" customWidth="1"/>
    <col min="3" max="3" width="12.21875" bestFit="1" customWidth="1"/>
    <col min="6" max="6" width="8.109375" customWidth="1"/>
    <col min="7" max="7" width="26.33203125" bestFit="1" customWidth="1"/>
    <col min="8" max="8" width="16.109375" customWidth="1"/>
    <col min="9" max="9" width="14.5546875" customWidth="1"/>
    <col min="10" max="10" width="14.6640625" bestFit="1" customWidth="1"/>
    <col min="11" max="11" width="26.33203125" bestFit="1" customWidth="1"/>
    <col min="12" max="12" width="13.21875" customWidth="1"/>
    <col min="13" max="13" width="12.21875" customWidth="1"/>
  </cols>
  <sheetData>
    <row r="3" spans="1:13" x14ac:dyDescent="0.3">
      <c r="A3" s="7" t="s">
        <v>1313</v>
      </c>
      <c r="B3" t="s">
        <v>1315</v>
      </c>
      <c r="C3" t="s">
        <v>1316</v>
      </c>
      <c r="D3" t="s">
        <v>1301</v>
      </c>
      <c r="E3" t="s">
        <v>1300</v>
      </c>
      <c r="F3" t="s">
        <v>1317</v>
      </c>
      <c r="G3" t="s">
        <v>1318</v>
      </c>
      <c r="H3" t="s">
        <v>1323</v>
      </c>
      <c r="K3" t="s">
        <v>1299</v>
      </c>
    </row>
    <row r="4" spans="1:13" x14ac:dyDescent="0.3">
      <c r="A4" s="8" t="s">
        <v>1</v>
      </c>
      <c r="B4" s="9">
        <v>13</v>
      </c>
      <c r="C4" s="9">
        <v>3</v>
      </c>
      <c r="D4">
        <f>IF(B4&lt;4,1,0)</f>
        <v>0</v>
      </c>
      <c r="E4">
        <f>IF(C4=0,1,0)</f>
        <v>0</v>
      </c>
      <c r="F4">
        <f>IF(AND(D4=1,E4=1),1,0)</f>
        <v>0</v>
      </c>
      <c r="G4">
        <f>SUM(F4:F209)</f>
        <v>127</v>
      </c>
      <c r="H4" t="str">
        <f>IF(B4&lt;4,"Remission","Active")</f>
        <v>Active</v>
      </c>
      <c r="K4">
        <f>CORREL(B4:B209,C4:C209)</f>
        <v>0.73363268635532763</v>
      </c>
    </row>
    <row r="5" spans="1:13" x14ac:dyDescent="0.3">
      <c r="A5" s="8" t="s">
        <v>2</v>
      </c>
      <c r="B5" s="9">
        <v>0</v>
      </c>
      <c r="C5" s="9">
        <v>0</v>
      </c>
      <c r="D5">
        <f t="shared" ref="D5:D68" si="0">IF(B5&lt;4,1,0)</f>
        <v>1</v>
      </c>
      <c r="E5">
        <f t="shared" ref="E5:E68" si="1">IF(C5=0,1,0)</f>
        <v>1</v>
      </c>
      <c r="F5">
        <f t="shared" ref="F5:F68" si="2">IF(AND(D5=1,E5=1),1,0)</f>
        <v>1</v>
      </c>
      <c r="H5" t="str">
        <f t="shared" ref="H5:H68" si="3">IF(B5&lt;4,"Remission","Active")</f>
        <v>Remission</v>
      </c>
    </row>
    <row r="6" spans="1:13" x14ac:dyDescent="0.3">
      <c r="A6" s="8" t="s">
        <v>3</v>
      </c>
      <c r="B6" s="9">
        <v>0</v>
      </c>
      <c r="C6" s="9">
        <v>0</v>
      </c>
      <c r="D6">
        <f t="shared" si="0"/>
        <v>1</v>
      </c>
      <c r="E6">
        <f t="shared" si="1"/>
        <v>1</v>
      </c>
      <c r="F6">
        <f t="shared" si="2"/>
        <v>1</v>
      </c>
      <c r="H6" t="str">
        <f t="shared" si="3"/>
        <v>Remission</v>
      </c>
    </row>
    <row r="7" spans="1:13" ht="57.6" x14ac:dyDescent="0.3">
      <c r="A7" s="8" t="s">
        <v>4</v>
      </c>
      <c r="B7" s="9">
        <v>15</v>
      </c>
      <c r="C7" s="9">
        <v>4</v>
      </c>
      <c r="D7">
        <f t="shared" si="0"/>
        <v>0</v>
      </c>
      <c r="E7">
        <f t="shared" si="1"/>
        <v>0</v>
      </c>
      <c r="F7">
        <f t="shared" si="2"/>
        <v>0</v>
      </c>
      <c r="G7" s="13"/>
      <c r="H7" t="str">
        <f t="shared" si="3"/>
        <v>Active</v>
      </c>
      <c r="I7" s="14"/>
      <c r="L7" s="10" t="s">
        <v>1303</v>
      </c>
      <c r="M7" s="10" t="s">
        <v>1302</v>
      </c>
    </row>
    <row r="8" spans="1:13" x14ac:dyDescent="0.3">
      <c r="A8" s="8" t="s">
        <v>5</v>
      </c>
      <c r="B8" s="9">
        <v>13</v>
      </c>
      <c r="C8" s="9">
        <v>4</v>
      </c>
      <c r="D8">
        <f t="shared" si="0"/>
        <v>0</v>
      </c>
      <c r="E8">
        <f t="shared" si="1"/>
        <v>0</v>
      </c>
      <c r="F8">
        <f t="shared" si="2"/>
        <v>0</v>
      </c>
      <c r="G8" s="15"/>
      <c r="H8" t="str">
        <f t="shared" si="3"/>
        <v>Active</v>
      </c>
      <c r="I8" s="13"/>
      <c r="K8" s="5" t="s">
        <v>1305</v>
      </c>
      <c r="L8" s="3">
        <f>COUNTIFS(D:D,1, E:E,1)</f>
        <v>127</v>
      </c>
      <c r="M8" s="3">
        <f>COUNTIFS(E:E,0, D:D,1)</f>
        <v>25</v>
      </c>
    </row>
    <row r="9" spans="1:13" x14ac:dyDescent="0.3">
      <c r="A9" s="8" t="s">
        <v>6</v>
      </c>
      <c r="B9" s="9">
        <v>14</v>
      </c>
      <c r="C9" s="9">
        <v>4</v>
      </c>
      <c r="D9">
        <f t="shared" si="0"/>
        <v>0</v>
      </c>
      <c r="E9">
        <f t="shared" si="1"/>
        <v>0</v>
      </c>
      <c r="F9">
        <f t="shared" si="2"/>
        <v>0</v>
      </c>
      <c r="G9" s="15"/>
      <c r="H9" t="str">
        <f t="shared" si="3"/>
        <v>Active</v>
      </c>
      <c r="I9" s="13"/>
      <c r="K9" s="5" t="s">
        <v>1304</v>
      </c>
      <c r="L9" s="3">
        <f>COUNTIFS(E:E,1, D:D,0)</f>
        <v>4</v>
      </c>
      <c r="M9" s="3">
        <f>COUNTIFS(D:D,0, E:E,0)</f>
        <v>50</v>
      </c>
    </row>
    <row r="10" spans="1:13" x14ac:dyDescent="0.3">
      <c r="A10" s="8" t="s">
        <v>7</v>
      </c>
      <c r="B10" s="9">
        <v>13</v>
      </c>
      <c r="C10" s="9">
        <v>3</v>
      </c>
      <c r="D10">
        <f t="shared" si="0"/>
        <v>0</v>
      </c>
      <c r="E10">
        <f t="shared" si="1"/>
        <v>0</v>
      </c>
      <c r="F10">
        <f t="shared" si="2"/>
        <v>0</v>
      </c>
      <c r="H10" t="str">
        <f t="shared" si="3"/>
        <v>Active</v>
      </c>
    </row>
    <row r="11" spans="1:13" x14ac:dyDescent="0.3">
      <c r="A11" s="8" t="s">
        <v>8</v>
      </c>
      <c r="B11" s="9">
        <v>0</v>
      </c>
      <c r="C11" s="9">
        <v>0</v>
      </c>
      <c r="D11">
        <f t="shared" si="0"/>
        <v>1</v>
      </c>
      <c r="E11">
        <f t="shared" si="1"/>
        <v>1</v>
      </c>
      <c r="F11">
        <f t="shared" si="2"/>
        <v>1</v>
      </c>
      <c r="G11" s="11"/>
      <c r="H11" t="str">
        <f t="shared" si="3"/>
        <v>Remission</v>
      </c>
      <c r="K11" s="2"/>
      <c r="L11" s="2"/>
    </row>
    <row r="12" spans="1:13" x14ac:dyDescent="0.3">
      <c r="A12" s="8" t="s">
        <v>9</v>
      </c>
      <c r="B12" s="9">
        <v>5</v>
      </c>
      <c r="C12" s="9">
        <v>2</v>
      </c>
      <c r="D12">
        <f t="shared" si="0"/>
        <v>0</v>
      </c>
      <c r="E12">
        <f t="shared" si="1"/>
        <v>0</v>
      </c>
      <c r="F12">
        <f t="shared" si="2"/>
        <v>0</v>
      </c>
      <c r="G12" s="16"/>
      <c r="H12" t="str">
        <f t="shared" si="3"/>
        <v>Active</v>
      </c>
      <c r="K12" s="4" t="s">
        <v>1310</v>
      </c>
      <c r="L12" s="3">
        <f>L8/(L8+L9)</f>
        <v>0.96946564885496178</v>
      </c>
    </row>
    <row r="13" spans="1:13" x14ac:dyDescent="0.3">
      <c r="A13" s="8" t="s">
        <v>10</v>
      </c>
      <c r="B13" s="9">
        <v>0</v>
      </c>
      <c r="C13" s="9">
        <v>0</v>
      </c>
      <c r="D13">
        <f t="shared" si="0"/>
        <v>1</v>
      </c>
      <c r="E13">
        <f t="shared" si="1"/>
        <v>1</v>
      </c>
      <c r="F13">
        <f t="shared" si="2"/>
        <v>1</v>
      </c>
      <c r="G13" s="16"/>
      <c r="H13" t="str">
        <f t="shared" si="3"/>
        <v>Remission</v>
      </c>
      <c r="K13" s="4" t="s">
        <v>1311</v>
      </c>
      <c r="L13" s="3">
        <f>M9/(M9+M8)</f>
        <v>0.66666666666666663</v>
      </c>
    </row>
    <row r="14" spans="1:13" x14ac:dyDescent="0.3">
      <c r="A14" s="8" t="s">
        <v>11</v>
      </c>
      <c r="B14" s="9">
        <v>10</v>
      </c>
      <c r="C14" s="9">
        <v>4</v>
      </c>
      <c r="D14">
        <f t="shared" si="0"/>
        <v>0</v>
      </c>
      <c r="E14">
        <f t="shared" si="1"/>
        <v>0</v>
      </c>
      <c r="F14">
        <f t="shared" si="2"/>
        <v>0</v>
      </c>
      <c r="G14" s="16"/>
      <c r="H14" t="str">
        <f t="shared" si="3"/>
        <v>Active</v>
      </c>
      <c r="K14" s="4" t="s">
        <v>1312</v>
      </c>
      <c r="L14" s="3">
        <f>L8/(L8+M8)</f>
        <v>0.83552631578947367</v>
      </c>
    </row>
    <row r="15" spans="1:13" x14ac:dyDescent="0.3">
      <c r="A15" s="8" t="s">
        <v>12</v>
      </c>
      <c r="B15" s="9">
        <v>0</v>
      </c>
      <c r="C15" s="9">
        <v>0</v>
      </c>
      <c r="D15">
        <f t="shared" si="0"/>
        <v>1</v>
      </c>
      <c r="E15">
        <f t="shared" si="1"/>
        <v>1</v>
      </c>
      <c r="F15">
        <f t="shared" si="2"/>
        <v>1</v>
      </c>
      <c r="H15" t="str">
        <f t="shared" si="3"/>
        <v>Remission</v>
      </c>
    </row>
    <row r="16" spans="1:13" x14ac:dyDescent="0.3">
      <c r="A16" s="8" t="s">
        <v>13</v>
      </c>
      <c r="B16" s="9">
        <v>11</v>
      </c>
      <c r="C16" s="9">
        <v>4</v>
      </c>
      <c r="D16">
        <f t="shared" si="0"/>
        <v>0</v>
      </c>
      <c r="E16">
        <f t="shared" si="1"/>
        <v>0</v>
      </c>
      <c r="F16">
        <f t="shared" si="2"/>
        <v>0</v>
      </c>
      <c r="H16" t="str">
        <f t="shared" si="3"/>
        <v>Active</v>
      </c>
      <c r="J16" t="s">
        <v>1322</v>
      </c>
      <c r="K16" s="4" t="s">
        <v>1319</v>
      </c>
      <c r="L16" s="17">
        <f>(M8/(SUM(L8+M8+L9+M9)))*100</f>
        <v>12.135922330097088</v>
      </c>
    </row>
    <row r="17" spans="1:12" x14ac:dyDescent="0.3">
      <c r="A17" s="8" t="s">
        <v>14</v>
      </c>
      <c r="B17" s="9">
        <v>0</v>
      </c>
      <c r="C17" s="9">
        <v>2</v>
      </c>
      <c r="D17">
        <f t="shared" si="0"/>
        <v>1</v>
      </c>
      <c r="E17">
        <f t="shared" si="1"/>
        <v>0</v>
      </c>
      <c r="F17">
        <f t="shared" si="2"/>
        <v>0</v>
      </c>
      <c r="H17" t="str">
        <f t="shared" si="3"/>
        <v>Remission</v>
      </c>
      <c r="K17" s="4" t="s">
        <v>1320</v>
      </c>
      <c r="L17" s="17">
        <f>(L9/(SUM(L9+M9+L8+M8)))*100</f>
        <v>1.9417475728155338</v>
      </c>
    </row>
    <row r="18" spans="1:12" x14ac:dyDescent="0.3">
      <c r="A18" s="8" t="s">
        <v>15</v>
      </c>
      <c r="B18" s="9">
        <v>0</v>
      </c>
      <c r="C18" s="9">
        <v>0</v>
      </c>
      <c r="D18">
        <f t="shared" si="0"/>
        <v>1</v>
      </c>
      <c r="E18">
        <f t="shared" si="1"/>
        <v>1</v>
      </c>
      <c r="F18">
        <f t="shared" si="2"/>
        <v>1</v>
      </c>
      <c r="H18" t="str">
        <f t="shared" si="3"/>
        <v>Remission</v>
      </c>
    </row>
    <row r="19" spans="1:12" x14ac:dyDescent="0.3">
      <c r="A19" s="8" t="s">
        <v>16</v>
      </c>
      <c r="B19" s="9">
        <v>0</v>
      </c>
      <c r="C19" s="9">
        <v>0</v>
      </c>
      <c r="D19">
        <f t="shared" si="0"/>
        <v>1</v>
      </c>
      <c r="E19">
        <f t="shared" si="1"/>
        <v>1</v>
      </c>
      <c r="F19">
        <f t="shared" si="2"/>
        <v>1</v>
      </c>
      <c r="H19" t="str">
        <f t="shared" si="3"/>
        <v>Remission</v>
      </c>
    </row>
    <row r="20" spans="1:12" x14ac:dyDescent="0.3">
      <c r="A20" s="8" t="s">
        <v>17</v>
      </c>
      <c r="B20" s="9">
        <v>1</v>
      </c>
      <c r="C20" s="9">
        <v>0</v>
      </c>
      <c r="D20">
        <f t="shared" si="0"/>
        <v>1</v>
      </c>
      <c r="E20">
        <f t="shared" si="1"/>
        <v>1</v>
      </c>
      <c r="F20">
        <f>IF(AND(D20=1,E20=1),1,0)</f>
        <v>1</v>
      </c>
      <c r="H20" t="str">
        <f t="shared" si="3"/>
        <v>Remission</v>
      </c>
    </row>
    <row r="21" spans="1:12" x14ac:dyDescent="0.3">
      <c r="A21" s="8" t="s">
        <v>18</v>
      </c>
      <c r="B21" s="9">
        <v>8</v>
      </c>
      <c r="C21" s="9">
        <v>2</v>
      </c>
      <c r="D21">
        <f t="shared" si="0"/>
        <v>0</v>
      </c>
      <c r="E21">
        <f t="shared" si="1"/>
        <v>0</v>
      </c>
      <c r="F21">
        <f t="shared" si="2"/>
        <v>0</v>
      </c>
      <c r="H21" t="str">
        <f t="shared" si="3"/>
        <v>Active</v>
      </c>
    </row>
    <row r="22" spans="1:12" x14ac:dyDescent="0.3">
      <c r="A22" s="8" t="s">
        <v>19</v>
      </c>
      <c r="B22" s="9">
        <v>1</v>
      </c>
      <c r="C22" s="9">
        <v>2</v>
      </c>
      <c r="D22">
        <f t="shared" si="0"/>
        <v>1</v>
      </c>
      <c r="E22">
        <f t="shared" si="1"/>
        <v>0</v>
      </c>
      <c r="F22">
        <f t="shared" si="2"/>
        <v>0</v>
      </c>
      <c r="H22" t="str">
        <f t="shared" si="3"/>
        <v>Remission</v>
      </c>
    </row>
    <row r="23" spans="1:12" x14ac:dyDescent="0.3">
      <c r="A23" s="8" t="s">
        <v>20</v>
      </c>
      <c r="B23" s="9">
        <v>11</v>
      </c>
      <c r="C23" s="9">
        <v>4</v>
      </c>
      <c r="D23">
        <f t="shared" si="0"/>
        <v>0</v>
      </c>
      <c r="E23">
        <f t="shared" si="1"/>
        <v>0</v>
      </c>
      <c r="F23">
        <f t="shared" si="2"/>
        <v>0</v>
      </c>
      <c r="H23" t="str">
        <f t="shared" si="3"/>
        <v>Active</v>
      </c>
    </row>
    <row r="24" spans="1:12" x14ac:dyDescent="0.3">
      <c r="A24" s="8" t="s">
        <v>21</v>
      </c>
      <c r="B24" s="9">
        <v>13</v>
      </c>
      <c r="C24" s="9">
        <v>3</v>
      </c>
      <c r="D24">
        <f t="shared" si="0"/>
        <v>0</v>
      </c>
      <c r="E24">
        <f t="shared" si="1"/>
        <v>0</v>
      </c>
      <c r="F24">
        <f t="shared" si="2"/>
        <v>0</v>
      </c>
      <c r="H24" t="str">
        <f t="shared" si="3"/>
        <v>Active</v>
      </c>
    </row>
    <row r="25" spans="1:12" x14ac:dyDescent="0.3">
      <c r="A25" s="8" t="s">
        <v>22</v>
      </c>
      <c r="B25" s="9">
        <v>5</v>
      </c>
      <c r="C25" s="9">
        <v>4</v>
      </c>
      <c r="D25">
        <f t="shared" si="0"/>
        <v>0</v>
      </c>
      <c r="E25">
        <f t="shared" si="1"/>
        <v>0</v>
      </c>
      <c r="F25">
        <f t="shared" si="2"/>
        <v>0</v>
      </c>
      <c r="H25" t="str">
        <f t="shared" si="3"/>
        <v>Active</v>
      </c>
    </row>
    <row r="26" spans="1:12" x14ac:dyDescent="0.3">
      <c r="A26" s="8" t="s">
        <v>23</v>
      </c>
      <c r="B26" s="9">
        <v>0</v>
      </c>
      <c r="C26" s="9">
        <v>0</v>
      </c>
      <c r="D26">
        <f t="shared" si="0"/>
        <v>1</v>
      </c>
      <c r="E26">
        <f t="shared" si="1"/>
        <v>1</v>
      </c>
      <c r="F26">
        <f t="shared" si="2"/>
        <v>1</v>
      </c>
      <c r="H26" t="str">
        <f t="shared" si="3"/>
        <v>Remission</v>
      </c>
    </row>
    <row r="27" spans="1:12" x14ac:dyDescent="0.3">
      <c r="A27" s="8" t="s">
        <v>24</v>
      </c>
      <c r="B27" s="9">
        <v>0</v>
      </c>
      <c r="C27" s="9">
        <v>0</v>
      </c>
      <c r="D27">
        <f t="shared" si="0"/>
        <v>1</v>
      </c>
      <c r="E27">
        <f t="shared" si="1"/>
        <v>1</v>
      </c>
      <c r="F27">
        <f t="shared" si="2"/>
        <v>1</v>
      </c>
      <c r="H27" t="str">
        <f t="shared" si="3"/>
        <v>Remission</v>
      </c>
    </row>
    <row r="28" spans="1:12" x14ac:dyDescent="0.3">
      <c r="A28" s="8" t="s">
        <v>25</v>
      </c>
      <c r="B28" s="9">
        <v>0</v>
      </c>
      <c r="C28" s="9">
        <v>0</v>
      </c>
      <c r="D28">
        <f t="shared" si="0"/>
        <v>1</v>
      </c>
      <c r="E28">
        <f t="shared" si="1"/>
        <v>1</v>
      </c>
      <c r="F28">
        <f t="shared" si="2"/>
        <v>1</v>
      </c>
      <c r="H28" t="str">
        <f t="shared" si="3"/>
        <v>Remission</v>
      </c>
    </row>
    <row r="29" spans="1:12" x14ac:dyDescent="0.3">
      <c r="A29" s="8" t="s">
        <v>26</v>
      </c>
      <c r="B29" s="9">
        <v>0</v>
      </c>
      <c r="C29" s="9">
        <v>2</v>
      </c>
      <c r="D29">
        <f t="shared" si="0"/>
        <v>1</v>
      </c>
      <c r="E29">
        <f t="shared" si="1"/>
        <v>0</v>
      </c>
      <c r="F29">
        <f t="shared" si="2"/>
        <v>0</v>
      </c>
      <c r="H29" t="str">
        <f t="shared" si="3"/>
        <v>Remission</v>
      </c>
    </row>
    <row r="30" spans="1:12" x14ac:dyDescent="0.3">
      <c r="A30" s="8" t="s">
        <v>27</v>
      </c>
      <c r="B30" s="9">
        <v>0</v>
      </c>
      <c r="C30" s="9">
        <v>0</v>
      </c>
      <c r="D30">
        <f t="shared" si="0"/>
        <v>1</v>
      </c>
      <c r="E30">
        <f t="shared" si="1"/>
        <v>1</v>
      </c>
      <c r="F30">
        <f t="shared" si="2"/>
        <v>1</v>
      </c>
      <c r="H30" t="str">
        <f t="shared" si="3"/>
        <v>Remission</v>
      </c>
    </row>
    <row r="31" spans="1:12" x14ac:dyDescent="0.3">
      <c r="A31" s="8" t="s">
        <v>28</v>
      </c>
      <c r="B31" s="9">
        <v>0</v>
      </c>
      <c r="C31" s="9">
        <v>0</v>
      </c>
      <c r="D31">
        <f t="shared" si="0"/>
        <v>1</v>
      </c>
      <c r="E31">
        <f t="shared" si="1"/>
        <v>1</v>
      </c>
      <c r="F31">
        <f t="shared" si="2"/>
        <v>1</v>
      </c>
      <c r="H31" t="str">
        <f t="shared" si="3"/>
        <v>Remission</v>
      </c>
    </row>
    <row r="32" spans="1:12" x14ac:dyDescent="0.3">
      <c r="A32" s="8" t="s">
        <v>29</v>
      </c>
      <c r="B32" s="9">
        <v>12</v>
      </c>
      <c r="C32" s="9">
        <v>3</v>
      </c>
      <c r="D32">
        <f t="shared" si="0"/>
        <v>0</v>
      </c>
      <c r="E32">
        <f t="shared" si="1"/>
        <v>0</v>
      </c>
      <c r="F32">
        <f t="shared" si="2"/>
        <v>0</v>
      </c>
      <c r="H32" t="str">
        <f t="shared" si="3"/>
        <v>Active</v>
      </c>
    </row>
    <row r="33" spans="1:8" x14ac:dyDescent="0.3">
      <c r="A33" s="8" t="s">
        <v>30</v>
      </c>
      <c r="B33" s="9">
        <v>0</v>
      </c>
      <c r="C33" s="9">
        <v>0</v>
      </c>
      <c r="D33">
        <f t="shared" si="0"/>
        <v>1</v>
      </c>
      <c r="E33">
        <f t="shared" si="1"/>
        <v>1</v>
      </c>
      <c r="F33">
        <f t="shared" si="2"/>
        <v>1</v>
      </c>
      <c r="H33" t="str">
        <f t="shared" si="3"/>
        <v>Remission</v>
      </c>
    </row>
    <row r="34" spans="1:8" x14ac:dyDescent="0.3">
      <c r="A34" s="8" t="s">
        <v>31</v>
      </c>
      <c r="B34" s="9">
        <v>1</v>
      </c>
      <c r="C34" s="9">
        <v>0</v>
      </c>
      <c r="D34">
        <f t="shared" si="0"/>
        <v>1</v>
      </c>
      <c r="E34">
        <f t="shared" si="1"/>
        <v>1</v>
      </c>
      <c r="F34">
        <f t="shared" si="2"/>
        <v>1</v>
      </c>
      <c r="H34" t="str">
        <f t="shared" si="3"/>
        <v>Remission</v>
      </c>
    </row>
    <row r="35" spans="1:8" x14ac:dyDescent="0.3">
      <c r="A35" s="8" t="s">
        <v>32</v>
      </c>
      <c r="B35" s="9">
        <v>4</v>
      </c>
      <c r="C35" s="9">
        <v>3</v>
      </c>
      <c r="D35">
        <f t="shared" si="0"/>
        <v>0</v>
      </c>
      <c r="E35">
        <f t="shared" si="1"/>
        <v>0</v>
      </c>
      <c r="F35">
        <f t="shared" si="2"/>
        <v>0</v>
      </c>
      <c r="H35" t="str">
        <f t="shared" si="3"/>
        <v>Active</v>
      </c>
    </row>
    <row r="36" spans="1:8" x14ac:dyDescent="0.3">
      <c r="A36" s="8" t="s">
        <v>33</v>
      </c>
      <c r="B36" s="9">
        <v>0</v>
      </c>
      <c r="C36" s="9">
        <v>0</v>
      </c>
      <c r="D36">
        <f t="shared" si="0"/>
        <v>1</v>
      </c>
      <c r="E36">
        <f t="shared" si="1"/>
        <v>1</v>
      </c>
      <c r="F36">
        <f t="shared" si="2"/>
        <v>1</v>
      </c>
      <c r="H36" t="str">
        <f t="shared" si="3"/>
        <v>Remission</v>
      </c>
    </row>
    <row r="37" spans="1:8" x14ac:dyDescent="0.3">
      <c r="A37" s="8" t="s">
        <v>34</v>
      </c>
      <c r="B37" s="9">
        <v>0</v>
      </c>
      <c r="C37" s="9">
        <v>0</v>
      </c>
      <c r="D37">
        <f t="shared" si="0"/>
        <v>1</v>
      </c>
      <c r="E37">
        <f t="shared" si="1"/>
        <v>1</v>
      </c>
      <c r="F37">
        <f t="shared" si="2"/>
        <v>1</v>
      </c>
      <c r="H37" t="str">
        <f t="shared" si="3"/>
        <v>Remission</v>
      </c>
    </row>
    <row r="38" spans="1:8" x14ac:dyDescent="0.3">
      <c r="A38" s="8" t="s">
        <v>35</v>
      </c>
      <c r="B38" s="9">
        <v>0</v>
      </c>
      <c r="C38" s="9">
        <v>0</v>
      </c>
      <c r="D38">
        <f t="shared" si="0"/>
        <v>1</v>
      </c>
      <c r="E38">
        <f t="shared" si="1"/>
        <v>1</v>
      </c>
      <c r="F38">
        <f t="shared" si="2"/>
        <v>1</v>
      </c>
      <c r="H38" t="str">
        <f t="shared" si="3"/>
        <v>Remission</v>
      </c>
    </row>
    <row r="39" spans="1:8" x14ac:dyDescent="0.3">
      <c r="A39" s="8" t="s">
        <v>36</v>
      </c>
      <c r="B39" s="9">
        <v>0</v>
      </c>
      <c r="C39" s="9">
        <v>0</v>
      </c>
      <c r="D39">
        <f t="shared" si="0"/>
        <v>1</v>
      </c>
      <c r="E39">
        <f t="shared" si="1"/>
        <v>1</v>
      </c>
      <c r="F39">
        <f t="shared" si="2"/>
        <v>1</v>
      </c>
      <c r="H39" t="str">
        <f t="shared" si="3"/>
        <v>Remission</v>
      </c>
    </row>
    <row r="40" spans="1:8" x14ac:dyDescent="0.3">
      <c r="A40" s="8" t="s">
        <v>37</v>
      </c>
      <c r="B40" s="9">
        <v>1</v>
      </c>
      <c r="C40" s="9">
        <v>0</v>
      </c>
      <c r="D40">
        <f t="shared" si="0"/>
        <v>1</v>
      </c>
      <c r="E40">
        <f t="shared" si="1"/>
        <v>1</v>
      </c>
      <c r="F40">
        <f t="shared" si="2"/>
        <v>1</v>
      </c>
      <c r="H40" t="str">
        <f t="shared" si="3"/>
        <v>Remission</v>
      </c>
    </row>
    <row r="41" spans="1:8" x14ac:dyDescent="0.3">
      <c r="A41" s="8" t="s">
        <v>38</v>
      </c>
      <c r="B41" s="9">
        <v>0</v>
      </c>
      <c r="C41" s="9">
        <v>0</v>
      </c>
      <c r="D41">
        <f t="shared" si="0"/>
        <v>1</v>
      </c>
      <c r="E41">
        <f t="shared" si="1"/>
        <v>1</v>
      </c>
      <c r="F41">
        <f t="shared" si="2"/>
        <v>1</v>
      </c>
      <c r="H41" t="str">
        <f t="shared" si="3"/>
        <v>Remission</v>
      </c>
    </row>
    <row r="42" spans="1:8" x14ac:dyDescent="0.3">
      <c r="A42" s="8" t="s">
        <v>39</v>
      </c>
      <c r="B42" s="9">
        <v>0</v>
      </c>
      <c r="C42" s="9">
        <v>0</v>
      </c>
      <c r="D42">
        <f t="shared" si="0"/>
        <v>1</v>
      </c>
      <c r="E42">
        <f t="shared" si="1"/>
        <v>1</v>
      </c>
      <c r="F42">
        <f t="shared" si="2"/>
        <v>1</v>
      </c>
      <c r="H42" t="str">
        <f t="shared" si="3"/>
        <v>Remission</v>
      </c>
    </row>
    <row r="43" spans="1:8" x14ac:dyDescent="0.3">
      <c r="A43" s="8" t="s">
        <v>40</v>
      </c>
      <c r="B43" s="9">
        <v>0</v>
      </c>
      <c r="C43" s="9">
        <v>0</v>
      </c>
      <c r="D43">
        <f t="shared" si="0"/>
        <v>1</v>
      </c>
      <c r="E43">
        <f t="shared" si="1"/>
        <v>1</v>
      </c>
      <c r="F43">
        <f t="shared" si="2"/>
        <v>1</v>
      </c>
      <c r="H43" t="str">
        <f t="shared" si="3"/>
        <v>Remission</v>
      </c>
    </row>
    <row r="44" spans="1:8" x14ac:dyDescent="0.3">
      <c r="A44" s="8" t="s">
        <v>41</v>
      </c>
      <c r="B44" s="9">
        <v>2</v>
      </c>
      <c r="C44" s="9">
        <v>0</v>
      </c>
      <c r="D44">
        <f t="shared" si="0"/>
        <v>1</v>
      </c>
      <c r="E44">
        <f t="shared" si="1"/>
        <v>1</v>
      </c>
      <c r="F44">
        <f t="shared" si="2"/>
        <v>1</v>
      </c>
      <c r="H44" t="str">
        <f t="shared" si="3"/>
        <v>Remission</v>
      </c>
    </row>
    <row r="45" spans="1:8" x14ac:dyDescent="0.3">
      <c r="A45" s="8" t="s">
        <v>42</v>
      </c>
      <c r="B45" s="9">
        <v>15</v>
      </c>
      <c r="C45" s="9">
        <v>4</v>
      </c>
      <c r="D45">
        <f t="shared" si="0"/>
        <v>0</v>
      </c>
      <c r="E45">
        <f t="shared" si="1"/>
        <v>0</v>
      </c>
      <c r="F45">
        <f t="shared" si="2"/>
        <v>0</v>
      </c>
      <c r="H45" t="str">
        <f t="shared" si="3"/>
        <v>Active</v>
      </c>
    </row>
    <row r="46" spans="1:8" x14ac:dyDescent="0.3">
      <c r="A46" s="8" t="s">
        <v>43</v>
      </c>
      <c r="B46" s="9">
        <v>0</v>
      </c>
      <c r="C46" s="9">
        <v>0</v>
      </c>
      <c r="D46">
        <f t="shared" si="0"/>
        <v>1</v>
      </c>
      <c r="E46">
        <f t="shared" si="1"/>
        <v>1</v>
      </c>
      <c r="F46">
        <f t="shared" si="2"/>
        <v>1</v>
      </c>
      <c r="H46" t="str">
        <f t="shared" si="3"/>
        <v>Remission</v>
      </c>
    </row>
    <row r="47" spans="1:8" x14ac:dyDescent="0.3">
      <c r="A47" s="8" t="s">
        <v>44</v>
      </c>
      <c r="B47" s="9">
        <v>1</v>
      </c>
      <c r="C47" s="9">
        <v>0</v>
      </c>
      <c r="D47">
        <f t="shared" si="0"/>
        <v>1</v>
      </c>
      <c r="E47">
        <f t="shared" si="1"/>
        <v>1</v>
      </c>
      <c r="F47">
        <f t="shared" si="2"/>
        <v>1</v>
      </c>
      <c r="H47" t="str">
        <f t="shared" si="3"/>
        <v>Remission</v>
      </c>
    </row>
    <row r="48" spans="1:8" x14ac:dyDescent="0.3">
      <c r="A48" s="8" t="s">
        <v>45</v>
      </c>
      <c r="B48" s="9">
        <v>7</v>
      </c>
      <c r="C48" s="9">
        <v>4</v>
      </c>
      <c r="D48">
        <f t="shared" si="0"/>
        <v>0</v>
      </c>
      <c r="E48">
        <f t="shared" si="1"/>
        <v>0</v>
      </c>
      <c r="F48">
        <f t="shared" si="2"/>
        <v>0</v>
      </c>
      <c r="H48" t="str">
        <f t="shared" si="3"/>
        <v>Active</v>
      </c>
    </row>
    <row r="49" spans="1:8" x14ac:dyDescent="0.3">
      <c r="A49" s="8" t="s">
        <v>46</v>
      </c>
      <c r="B49" s="9">
        <v>5</v>
      </c>
      <c r="C49" s="9">
        <v>1</v>
      </c>
      <c r="D49">
        <f t="shared" si="0"/>
        <v>0</v>
      </c>
      <c r="E49">
        <f t="shared" si="1"/>
        <v>0</v>
      </c>
      <c r="F49">
        <f t="shared" si="2"/>
        <v>0</v>
      </c>
      <c r="H49" t="str">
        <f t="shared" si="3"/>
        <v>Active</v>
      </c>
    </row>
    <row r="50" spans="1:8" x14ac:dyDescent="0.3">
      <c r="A50" s="8" t="s">
        <v>47</v>
      </c>
      <c r="B50" s="9">
        <v>0</v>
      </c>
      <c r="C50" s="9">
        <v>0</v>
      </c>
      <c r="D50">
        <f t="shared" si="0"/>
        <v>1</v>
      </c>
      <c r="E50">
        <f t="shared" si="1"/>
        <v>1</v>
      </c>
      <c r="F50">
        <f t="shared" si="2"/>
        <v>1</v>
      </c>
      <c r="H50" t="str">
        <f t="shared" si="3"/>
        <v>Remission</v>
      </c>
    </row>
    <row r="51" spans="1:8" x14ac:dyDescent="0.3">
      <c r="A51" s="8" t="s">
        <v>48</v>
      </c>
      <c r="B51" s="9">
        <v>0</v>
      </c>
      <c r="C51" s="9">
        <v>0</v>
      </c>
      <c r="D51">
        <f t="shared" si="0"/>
        <v>1</v>
      </c>
      <c r="E51">
        <f t="shared" si="1"/>
        <v>1</v>
      </c>
      <c r="F51">
        <f t="shared" si="2"/>
        <v>1</v>
      </c>
      <c r="H51" t="str">
        <f t="shared" si="3"/>
        <v>Remission</v>
      </c>
    </row>
    <row r="52" spans="1:8" x14ac:dyDescent="0.3">
      <c r="A52" s="8" t="s">
        <v>49</v>
      </c>
      <c r="B52" s="9">
        <v>0</v>
      </c>
      <c r="C52" s="9">
        <v>1</v>
      </c>
      <c r="D52">
        <f t="shared" si="0"/>
        <v>1</v>
      </c>
      <c r="E52">
        <f t="shared" si="1"/>
        <v>0</v>
      </c>
      <c r="F52">
        <f t="shared" si="2"/>
        <v>0</v>
      </c>
      <c r="H52" t="str">
        <f t="shared" si="3"/>
        <v>Remission</v>
      </c>
    </row>
    <row r="53" spans="1:8" x14ac:dyDescent="0.3">
      <c r="A53" s="8" t="s">
        <v>50</v>
      </c>
      <c r="B53" s="9">
        <v>0</v>
      </c>
      <c r="C53" s="9">
        <v>0</v>
      </c>
      <c r="D53">
        <f t="shared" si="0"/>
        <v>1</v>
      </c>
      <c r="E53">
        <f t="shared" si="1"/>
        <v>1</v>
      </c>
      <c r="F53">
        <f t="shared" si="2"/>
        <v>1</v>
      </c>
      <c r="H53" t="str">
        <f t="shared" si="3"/>
        <v>Remission</v>
      </c>
    </row>
    <row r="54" spans="1:8" x14ac:dyDescent="0.3">
      <c r="A54" s="8" t="s">
        <v>51</v>
      </c>
      <c r="B54" s="9">
        <v>0</v>
      </c>
      <c r="C54" s="9">
        <v>0</v>
      </c>
      <c r="D54">
        <f t="shared" si="0"/>
        <v>1</v>
      </c>
      <c r="E54">
        <f t="shared" si="1"/>
        <v>1</v>
      </c>
      <c r="F54">
        <f t="shared" si="2"/>
        <v>1</v>
      </c>
      <c r="H54" t="str">
        <f t="shared" si="3"/>
        <v>Remission</v>
      </c>
    </row>
    <row r="55" spans="1:8" x14ac:dyDescent="0.3">
      <c r="A55" s="8" t="s">
        <v>52</v>
      </c>
      <c r="B55" s="9">
        <v>0</v>
      </c>
      <c r="C55" s="9">
        <v>0</v>
      </c>
      <c r="D55">
        <f t="shared" si="0"/>
        <v>1</v>
      </c>
      <c r="E55">
        <f t="shared" si="1"/>
        <v>1</v>
      </c>
      <c r="F55">
        <f t="shared" si="2"/>
        <v>1</v>
      </c>
      <c r="H55" t="str">
        <f t="shared" si="3"/>
        <v>Remission</v>
      </c>
    </row>
    <row r="56" spans="1:8" x14ac:dyDescent="0.3">
      <c r="A56" s="8" t="s">
        <v>53</v>
      </c>
      <c r="B56" s="9">
        <v>0</v>
      </c>
      <c r="C56" s="9">
        <v>4</v>
      </c>
      <c r="D56">
        <f t="shared" si="0"/>
        <v>1</v>
      </c>
      <c r="E56">
        <f t="shared" si="1"/>
        <v>0</v>
      </c>
      <c r="F56">
        <f t="shared" si="2"/>
        <v>0</v>
      </c>
      <c r="H56" t="str">
        <f t="shared" si="3"/>
        <v>Remission</v>
      </c>
    </row>
    <row r="57" spans="1:8" x14ac:dyDescent="0.3">
      <c r="A57" s="8" t="s">
        <v>54</v>
      </c>
      <c r="B57" s="9">
        <v>0</v>
      </c>
      <c r="C57" s="9">
        <v>0</v>
      </c>
      <c r="D57">
        <f t="shared" si="0"/>
        <v>1</v>
      </c>
      <c r="E57">
        <f t="shared" si="1"/>
        <v>1</v>
      </c>
      <c r="F57">
        <f t="shared" si="2"/>
        <v>1</v>
      </c>
      <c r="H57" t="str">
        <f t="shared" si="3"/>
        <v>Remission</v>
      </c>
    </row>
    <row r="58" spans="1:8" x14ac:dyDescent="0.3">
      <c r="A58" s="8" t="s">
        <v>55</v>
      </c>
      <c r="B58" s="9">
        <v>0</v>
      </c>
      <c r="C58" s="9">
        <v>0</v>
      </c>
      <c r="D58">
        <f t="shared" si="0"/>
        <v>1</v>
      </c>
      <c r="E58">
        <f t="shared" si="1"/>
        <v>1</v>
      </c>
      <c r="F58">
        <f t="shared" si="2"/>
        <v>1</v>
      </c>
      <c r="H58" t="str">
        <f t="shared" si="3"/>
        <v>Remission</v>
      </c>
    </row>
    <row r="59" spans="1:8" x14ac:dyDescent="0.3">
      <c r="A59" s="8" t="s">
        <v>56</v>
      </c>
      <c r="B59" s="9">
        <v>7</v>
      </c>
      <c r="C59" s="9">
        <v>4</v>
      </c>
      <c r="D59">
        <f t="shared" si="0"/>
        <v>0</v>
      </c>
      <c r="E59">
        <f t="shared" si="1"/>
        <v>0</v>
      </c>
      <c r="F59">
        <f t="shared" si="2"/>
        <v>0</v>
      </c>
      <c r="H59" t="str">
        <f t="shared" si="3"/>
        <v>Active</v>
      </c>
    </row>
    <row r="60" spans="1:8" x14ac:dyDescent="0.3">
      <c r="A60" s="8" t="s">
        <v>57</v>
      </c>
      <c r="B60" s="9">
        <v>0</v>
      </c>
      <c r="C60" s="9">
        <v>0</v>
      </c>
      <c r="D60">
        <f t="shared" si="0"/>
        <v>1</v>
      </c>
      <c r="E60">
        <f t="shared" si="1"/>
        <v>1</v>
      </c>
      <c r="F60">
        <f t="shared" si="2"/>
        <v>1</v>
      </c>
      <c r="H60" t="str">
        <f t="shared" si="3"/>
        <v>Remission</v>
      </c>
    </row>
    <row r="61" spans="1:8" x14ac:dyDescent="0.3">
      <c r="A61" s="8" t="s">
        <v>58</v>
      </c>
      <c r="B61" s="9">
        <v>0</v>
      </c>
      <c r="C61" s="9">
        <v>0</v>
      </c>
      <c r="D61">
        <f t="shared" si="0"/>
        <v>1</v>
      </c>
      <c r="E61">
        <f t="shared" si="1"/>
        <v>1</v>
      </c>
      <c r="F61">
        <f t="shared" si="2"/>
        <v>1</v>
      </c>
      <c r="H61" t="str">
        <f t="shared" si="3"/>
        <v>Remission</v>
      </c>
    </row>
    <row r="62" spans="1:8" x14ac:dyDescent="0.3">
      <c r="A62" s="8" t="s">
        <v>59</v>
      </c>
      <c r="B62" s="9">
        <v>0</v>
      </c>
      <c r="C62" s="9">
        <v>0</v>
      </c>
      <c r="D62">
        <f t="shared" si="0"/>
        <v>1</v>
      </c>
      <c r="E62">
        <f t="shared" si="1"/>
        <v>1</v>
      </c>
      <c r="F62">
        <f t="shared" si="2"/>
        <v>1</v>
      </c>
      <c r="H62" t="str">
        <f t="shared" si="3"/>
        <v>Remission</v>
      </c>
    </row>
    <row r="63" spans="1:8" x14ac:dyDescent="0.3">
      <c r="A63" s="8" t="s">
        <v>60</v>
      </c>
      <c r="B63" s="9">
        <v>8</v>
      </c>
      <c r="C63" s="9">
        <v>4</v>
      </c>
      <c r="D63">
        <f t="shared" si="0"/>
        <v>0</v>
      </c>
      <c r="E63">
        <f t="shared" si="1"/>
        <v>0</v>
      </c>
      <c r="F63">
        <f t="shared" si="2"/>
        <v>0</v>
      </c>
      <c r="H63" t="str">
        <f t="shared" si="3"/>
        <v>Active</v>
      </c>
    </row>
    <row r="64" spans="1:8" x14ac:dyDescent="0.3">
      <c r="A64" s="8" t="s">
        <v>61</v>
      </c>
      <c r="B64" s="9">
        <v>0</v>
      </c>
      <c r="C64" s="9">
        <v>0</v>
      </c>
      <c r="D64">
        <f t="shared" si="0"/>
        <v>1</v>
      </c>
      <c r="E64">
        <f t="shared" si="1"/>
        <v>1</v>
      </c>
      <c r="F64">
        <f t="shared" si="2"/>
        <v>1</v>
      </c>
      <c r="H64" t="str">
        <f t="shared" si="3"/>
        <v>Remission</v>
      </c>
    </row>
    <row r="65" spans="1:8" x14ac:dyDescent="0.3">
      <c r="A65" s="8" t="s">
        <v>62</v>
      </c>
      <c r="B65" s="9">
        <v>0</v>
      </c>
      <c r="C65" s="9">
        <v>1</v>
      </c>
      <c r="D65">
        <f t="shared" si="0"/>
        <v>1</v>
      </c>
      <c r="E65">
        <f t="shared" si="1"/>
        <v>0</v>
      </c>
      <c r="F65">
        <f t="shared" si="2"/>
        <v>0</v>
      </c>
      <c r="H65" t="str">
        <f t="shared" si="3"/>
        <v>Remission</v>
      </c>
    </row>
    <row r="66" spans="1:8" x14ac:dyDescent="0.3">
      <c r="A66" s="8" t="s">
        <v>63</v>
      </c>
      <c r="B66" s="9">
        <v>0</v>
      </c>
      <c r="C66" s="9">
        <v>0</v>
      </c>
      <c r="D66">
        <f t="shared" si="0"/>
        <v>1</v>
      </c>
      <c r="E66">
        <f t="shared" si="1"/>
        <v>1</v>
      </c>
      <c r="F66">
        <f t="shared" si="2"/>
        <v>1</v>
      </c>
      <c r="H66" t="str">
        <f t="shared" si="3"/>
        <v>Remission</v>
      </c>
    </row>
    <row r="67" spans="1:8" x14ac:dyDescent="0.3">
      <c r="A67" s="8" t="s">
        <v>64</v>
      </c>
      <c r="B67" s="9">
        <v>0</v>
      </c>
      <c r="C67" s="9">
        <v>0</v>
      </c>
      <c r="D67">
        <f t="shared" si="0"/>
        <v>1</v>
      </c>
      <c r="E67">
        <f t="shared" si="1"/>
        <v>1</v>
      </c>
      <c r="F67">
        <f t="shared" si="2"/>
        <v>1</v>
      </c>
      <c r="H67" t="str">
        <f t="shared" si="3"/>
        <v>Remission</v>
      </c>
    </row>
    <row r="68" spans="1:8" x14ac:dyDescent="0.3">
      <c r="A68" s="8" t="s">
        <v>65</v>
      </c>
      <c r="B68" s="9">
        <v>0</v>
      </c>
      <c r="C68" s="9">
        <v>0</v>
      </c>
      <c r="D68">
        <f t="shared" si="0"/>
        <v>1</v>
      </c>
      <c r="E68">
        <f t="shared" si="1"/>
        <v>1</v>
      </c>
      <c r="F68">
        <f t="shared" si="2"/>
        <v>1</v>
      </c>
      <c r="H68" t="str">
        <f t="shared" si="3"/>
        <v>Remission</v>
      </c>
    </row>
    <row r="69" spans="1:8" x14ac:dyDescent="0.3">
      <c r="A69" s="8" t="s">
        <v>66</v>
      </c>
      <c r="B69" s="9">
        <v>0</v>
      </c>
      <c r="C69" s="9">
        <v>0</v>
      </c>
      <c r="D69">
        <f t="shared" ref="D69:D132" si="4">IF(B69&lt;4,1,0)</f>
        <v>1</v>
      </c>
      <c r="E69">
        <f t="shared" ref="E69:E132" si="5">IF(C69=0,1,0)</f>
        <v>1</v>
      </c>
      <c r="F69">
        <f t="shared" ref="F69:F132" si="6">IF(AND(D69=1,E69=1),1,0)</f>
        <v>1</v>
      </c>
      <c r="H69" t="str">
        <f t="shared" ref="H69:H132" si="7">IF(B69&lt;4,"Remission","Active")</f>
        <v>Remission</v>
      </c>
    </row>
    <row r="70" spans="1:8" x14ac:dyDescent="0.3">
      <c r="A70" s="8" t="s">
        <v>67</v>
      </c>
      <c r="B70" s="9">
        <v>0</v>
      </c>
      <c r="C70" s="9">
        <v>0</v>
      </c>
      <c r="D70">
        <f t="shared" si="4"/>
        <v>1</v>
      </c>
      <c r="E70">
        <f t="shared" si="5"/>
        <v>1</v>
      </c>
      <c r="F70">
        <f t="shared" si="6"/>
        <v>1</v>
      </c>
      <c r="H70" t="str">
        <f t="shared" si="7"/>
        <v>Remission</v>
      </c>
    </row>
    <row r="71" spans="1:8" x14ac:dyDescent="0.3">
      <c r="A71" s="8" t="s">
        <v>68</v>
      </c>
      <c r="B71" s="9">
        <v>0</v>
      </c>
      <c r="C71" s="9">
        <v>0</v>
      </c>
      <c r="D71">
        <f t="shared" si="4"/>
        <v>1</v>
      </c>
      <c r="E71">
        <f t="shared" si="5"/>
        <v>1</v>
      </c>
      <c r="F71">
        <f t="shared" si="6"/>
        <v>1</v>
      </c>
      <c r="H71" t="str">
        <f t="shared" si="7"/>
        <v>Remission</v>
      </c>
    </row>
    <row r="72" spans="1:8" x14ac:dyDescent="0.3">
      <c r="A72" s="8" t="s">
        <v>69</v>
      </c>
      <c r="B72" s="9">
        <v>0</v>
      </c>
      <c r="C72" s="9">
        <v>0</v>
      </c>
      <c r="D72">
        <f t="shared" si="4"/>
        <v>1</v>
      </c>
      <c r="E72">
        <f t="shared" si="5"/>
        <v>1</v>
      </c>
      <c r="F72">
        <f t="shared" si="6"/>
        <v>1</v>
      </c>
      <c r="H72" t="str">
        <f t="shared" si="7"/>
        <v>Remission</v>
      </c>
    </row>
    <row r="73" spans="1:8" x14ac:dyDescent="0.3">
      <c r="A73" s="8" t="s">
        <v>70</v>
      </c>
      <c r="B73" s="9">
        <v>0</v>
      </c>
      <c r="C73" s="9">
        <v>0</v>
      </c>
      <c r="D73">
        <f t="shared" si="4"/>
        <v>1</v>
      </c>
      <c r="E73">
        <f t="shared" si="5"/>
        <v>1</v>
      </c>
      <c r="F73">
        <f t="shared" si="6"/>
        <v>1</v>
      </c>
      <c r="H73" t="str">
        <f t="shared" si="7"/>
        <v>Remission</v>
      </c>
    </row>
    <row r="74" spans="1:8" x14ac:dyDescent="0.3">
      <c r="A74" s="8" t="s">
        <v>71</v>
      </c>
      <c r="B74" s="9">
        <v>0</v>
      </c>
      <c r="C74" s="9">
        <v>0</v>
      </c>
      <c r="D74">
        <f t="shared" si="4"/>
        <v>1</v>
      </c>
      <c r="E74">
        <f t="shared" si="5"/>
        <v>1</v>
      </c>
      <c r="F74">
        <f t="shared" si="6"/>
        <v>1</v>
      </c>
      <c r="H74" t="str">
        <f t="shared" si="7"/>
        <v>Remission</v>
      </c>
    </row>
    <row r="75" spans="1:8" x14ac:dyDescent="0.3">
      <c r="A75" s="8" t="s">
        <v>72</v>
      </c>
      <c r="B75" s="9">
        <v>0</v>
      </c>
      <c r="C75" s="9">
        <v>0</v>
      </c>
      <c r="D75">
        <f t="shared" si="4"/>
        <v>1</v>
      </c>
      <c r="E75">
        <f t="shared" si="5"/>
        <v>1</v>
      </c>
      <c r="F75">
        <f t="shared" si="6"/>
        <v>1</v>
      </c>
      <c r="H75" t="str">
        <f t="shared" si="7"/>
        <v>Remission</v>
      </c>
    </row>
    <row r="76" spans="1:8" x14ac:dyDescent="0.3">
      <c r="A76" s="8" t="s">
        <v>73</v>
      </c>
      <c r="B76" s="9">
        <v>9</v>
      </c>
      <c r="C76" s="9">
        <v>4</v>
      </c>
      <c r="D76">
        <f t="shared" si="4"/>
        <v>0</v>
      </c>
      <c r="E76">
        <f t="shared" si="5"/>
        <v>0</v>
      </c>
      <c r="F76">
        <f t="shared" si="6"/>
        <v>0</v>
      </c>
      <c r="H76" t="str">
        <f t="shared" si="7"/>
        <v>Active</v>
      </c>
    </row>
    <row r="77" spans="1:8" x14ac:dyDescent="0.3">
      <c r="A77" s="8" t="s">
        <v>74</v>
      </c>
      <c r="B77" s="9">
        <v>0</v>
      </c>
      <c r="C77" s="9">
        <v>0</v>
      </c>
      <c r="D77">
        <f t="shared" si="4"/>
        <v>1</v>
      </c>
      <c r="E77">
        <f t="shared" si="5"/>
        <v>1</v>
      </c>
      <c r="F77">
        <f t="shared" si="6"/>
        <v>1</v>
      </c>
      <c r="H77" t="str">
        <f t="shared" si="7"/>
        <v>Remission</v>
      </c>
    </row>
    <row r="78" spans="1:8" x14ac:dyDescent="0.3">
      <c r="A78" s="8" t="s">
        <v>75</v>
      </c>
      <c r="B78" s="9">
        <v>1</v>
      </c>
      <c r="C78" s="9">
        <v>0</v>
      </c>
      <c r="D78">
        <f t="shared" si="4"/>
        <v>1</v>
      </c>
      <c r="E78">
        <f t="shared" si="5"/>
        <v>1</v>
      </c>
      <c r="F78">
        <f t="shared" si="6"/>
        <v>1</v>
      </c>
      <c r="H78" t="str">
        <f t="shared" si="7"/>
        <v>Remission</v>
      </c>
    </row>
    <row r="79" spans="1:8" x14ac:dyDescent="0.3">
      <c r="A79" s="8" t="s">
        <v>76</v>
      </c>
      <c r="B79" s="9">
        <v>0</v>
      </c>
      <c r="C79" s="9">
        <v>0</v>
      </c>
      <c r="D79">
        <f t="shared" si="4"/>
        <v>1</v>
      </c>
      <c r="E79">
        <f t="shared" si="5"/>
        <v>1</v>
      </c>
      <c r="F79">
        <f t="shared" si="6"/>
        <v>1</v>
      </c>
      <c r="H79" t="str">
        <f t="shared" si="7"/>
        <v>Remission</v>
      </c>
    </row>
    <row r="80" spans="1:8" x14ac:dyDescent="0.3">
      <c r="A80" s="8" t="s">
        <v>77</v>
      </c>
      <c r="B80" s="9">
        <v>0</v>
      </c>
      <c r="C80" s="9">
        <v>0</v>
      </c>
      <c r="D80">
        <f t="shared" si="4"/>
        <v>1</v>
      </c>
      <c r="E80">
        <f t="shared" si="5"/>
        <v>1</v>
      </c>
      <c r="F80">
        <f t="shared" si="6"/>
        <v>1</v>
      </c>
      <c r="H80" t="str">
        <f t="shared" si="7"/>
        <v>Remission</v>
      </c>
    </row>
    <row r="81" spans="1:8" x14ac:dyDescent="0.3">
      <c r="A81" s="8" t="s">
        <v>78</v>
      </c>
      <c r="B81" s="9">
        <v>0</v>
      </c>
      <c r="C81" s="9">
        <v>0</v>
      </c>
      <c r="D81">
        <f t="shared" si="4"/>
        <v>1</v>
      </c>
      <c r="E81">
        <f t="shared" si="5"/>
        <v>1</v>
      </c>
      <c r="F81">
        <f t="shared" si="6"/>
        <v>1</v>
      </c>
      <c r="H81" t="str">
        <f t="shared" si="7"/>
        <v>Remission</v>
      </c>
    </row>
    <row r="82" spans="1:8" x14ac:dyDescent="0.3">
      <c r="A82" s="8" t="s">
        <v>79</v>
      </c>
      <c r="B82" s="9">
        <v>0</v>
      </c>
      <c r="C82" s="9">
        <v>4</v>
      </c>
      <c r="D82">
        <f t="shared" si="4"/>
        <v>1</v>
      </c>
      <c r="E82">
        <f t="shared" si="5"/>
        <v>0</v>
      </c>
      <c r="F82">
        <f t="shared" si="6"/>
        <v>0</v>
      </c>
      <c r="H82" t="str">
        <f t="shared" si="7"/>
        <v>Remission</v>
      </c>
    </row>
    <row r="83" spans="1:8" x14ac:dyDescent="0.3">
      <c r="A83" s="8" t="s">
        <v>80</v>
      </c>
      <c r="B83" s="9">
        <v>0</v>
      </c>
      <c r="C83" s="9">
        <v>0</v>
      </c>
      <c r="D83">
        <f t="shared" si="4"/>
        <v>1</v>
      </c>
      <c r="E83">
        <f t="shared" si="5"/>
        <v>1</v>
      </c>
      <c r="F83">
        <f t="shared" si="6"/>
        <v>1</v>
      </c>
      <c r="H83" t="str">
        <f t="shared" si="7"/>
        <v>Remission</v>
      </c>
    </row>
    <row r="84" spans="1:8" x14ac:dyDescent="0.3">
      <c r="A84" s="8" t="s">
        <v>81</v>
      </c>
      <c r="B84" s="9">
        <v>2</v>
      </c>
      <c r="C84" s="9">
        <v>0</v>
      </c>
      <c r="D84">
        <f t="shared" si="4"/>
        <v>1</v>
      </c>
      <c r="E84">
        <f t="shared" si="5"/>
        <v>1</v>
      </c>
      <c r="F84">
        <f t="shared" si="6"/>
        <v>1</v>
      </c>
      <c r="H84" t="str">
        <f t="shared" si="7"/>
        <v>Remission</v>
      </c>
    </row>
    <row r="85" spans="1:8" x14ac:dyDescent="0.3">
      <c r="A85" s="8" t="s">
        <v>82</v>
      </c>
      <c r="B85" s="9">
        <v>0</v>
      </c>
      <c r="C85" s="9">
        <v>0</v>
      </c>
      <c r="D85">
        <f t="shared" si="4"/>
        <v>1</v>
      </c>
      <c r="E85">
        <f t="shared" si="5"/>
        <v>1</v>
      </c>
      <c r="F85">
        <f t="shared" si="6"/>
        <v>1</v>
      </c>
      <c r="H85" t="str">
        <f t="shared" si="7"/>
        <v>Remission</v>
      </c>
    </row>
    <row r="86" spans="1:8" x14ac:dyDescent="0.3">
      <c r="A86" s="8" t="s">
        <v>83</v>
      </c>
      <c r="B86" s="9">
        <v>0</v>
      </c>
      <c r="C86" s="9">
        <v>0</v>
      </c>
      <c r="D86">
        <f t="shared" si="4"/>
        <v>1</v>
      </c>
      <c r="E86">
        <f t="shared" si="5"/>
        <v>1</v>
      </c>
      <c r="F86">
        <f t="shared" si="6"/>
        <v>1</v>
      </c>
      <c r="H86" t="str">
        <f t="shared" si="7"/>
        <v>Remission</v>
      </c>
    </row>
    <row r="87" spans="1:8" x14ac:dyDescent="0.3">
      <c r="A87" s="8" t="s">
        <v>84</v>
      </c>
      <c r="B87" s="9">
        <v>0</v>
      </c>
      <c r="C87" s="9">
        <v>0</v>
      </c>
      <c r="D87">
        <f t="shared" si="4"/>
        <v>1</v>
      </c>
      <c r="E87">
        <f t="shared" si="5"/>
        <v>1</v>
      </c>
      <c r="F87">
        <f t="shared" si="6"/>
        <v>1</v>
      </c>
      <c r="H87" t="str">
        <f t="shared" si="7"/>
        <v>Remission</v>
      </c>
    </row>
    <row r="88" spans="1:8" x14ac:dyDescent="0.3">
      <c r="A88" s="8" t="s">
        <v>85</v>
      </c>
      <c r="B88" s="9">
        <v>0</v>
      </c>
      <c r="C88" s="9">
        <v>0</v>
      </c>
      <c r="D88">
        <f t="shared" si="4"/>
        <v>1</v>
      </c>
      <c r="E88">
        <f t="shared" si="5"/>
        <v>1</v>
      </c>
      <c r="F88">
        <f t="shared" si="6"/>
        <v>1</v>
      </c>
      <c r="H88" t="str">
        <f t="shared" si="7"/>
        <v>Remission</v>
      </c>
    </row>
    <row r="89" spans="1:8" x14ac:dyDescent="0.3">
      <c r="A89" s="8" t="s">
        <v>86</v>
      </c>
      <c r="B89" s="9">
        <v>0</v>
      </c>
      <c r="C89" s="9">
        <v>0</v>
      </c>
      <c r="D89">
        <f t="shared" si="4"/>
        <v>1</v>
      </c>
      <c r="E89">
        <f t="shared" si="5"/>
        <v>1</v>
      </c>
      <c r="F89">
        <f t="shared" si="6"/>
        <v>1</v>
      </c>
      <c r="H89" t="str">
        <f t="shared" si="7"/>
        <v>Remission</v>
      </c>
    </row>
    <row r="90" spans="1:8" x14ac:dyDescent="0.3">
      <c r="A90" s="8" t="s">
        <v>87</v>
      </c>
      <c r="B90" s="9">
        <v>0</v>
      </c>
      <c r="C90" s="9">
        <v>0</v>
      </c>
      <c r="D90">
        <f t="shared" si="4"/>
        <v>1</v>
      </c>
      <c r="E90">
        <f t="shared" si="5"/>
        <v>1</v>
      </c>
      <c r="F90">
        <f t="shared" si="6"/>
        <v>1</v>
      </c>
      <c r="H90" t="str">
        <f t="shared" si="7"/>
        <v>Remission</v>
      </c>
    </row>
    <row r="91" spans="1:8" x14ac:dyDescent="0.3">
      <c r="A91" s="8" t="s">
        <v>88</v>
      </c>
      <c r="B91" s="9">
        <v>10</v>
      </c>
      <c r="C91" s="9">
        <v>3</v>
      </c>
      <c r="D91">
        <f t="shared" si="4"/>
        <v>0</v>
      </c>
      <c r="E91">
        <f t="shared" si="5"/>
        <v>0</v>
      </c>
      <c r="F91">
        <f t="shared" si="6"/>
        <v>0</v>
      </c>
      <c r="H91" t="str">
        <f t="shared" si="7"/>
        <v>Active</v>
      </c>
    </row>
    <row r="92" spans="1:8" x14ac:dyDescent="0.3">
      <c r="A92" s="8" t="s">
        <v>89</v>
      </c>
      <c r="B92" s="9">
        <v>0</v>
      </c>
      <c r="C92" s="9">
        <v>2</v>
      </c>
      <c r="D92">
        <f t="shared" si="4"/>
        <v>1</v>
      </c>
      <c r="E92">
        <f t="shared" si="5"/>
        <v>0</v>
      </c>
      <c r="F92">
        <f t="shared" si="6"/>
        <v>0</v>
      </c>
      <c r="H92" t="str">
        <f t="shared" si="7"/>
        <v>Remission</v>
      </c>
    </row>
    <row r="93" spans="1:8" x14ac:dyDescent="0.3">
      <c r="A93" s="8" t="s">
        <v>90</v>
      </c>
      <c r="B93" s="9">
        <v>2</v>
      </c>
      <c r="C93" s="9">
        <v>0</v>
      </c>
      <c r="D93">
        <f t="shared" si="4"/>
        <v>1</v>
      </c>
      <c r="E93">
        <f t="shared" si="5"/>
        <v>1</v>
      </c>
      <c r="F93">
        <f t="shared" si="6"/>
        <v>1</v>
      </c>
      <c r="H93" t="str">
        <f t="shared" si="7"/>
        <v>Remission</v>
      </c>
    </row>
    <row r="94" spans="1:8" x14ac:dyDescent="0.3">
      <c r="A94" s="8" t="s">
        <v>91</v>
      </c>
      <c r="B94" s="9">
        <v>2</v>
      </c>
      <c r="C94" s="9">
        <v>0</v>
      </c>
      <c r="D94">
        <f t="shared" si="4"/>
        <v>1</v>
      </c>
      <c r="E94">
        <f t="shared" si="5"/>
        <v>1</v>
      </c>
      <c r="F94">
        <f t="shared" si="6"/>
        <v>1</v>
      </c>
      <c r="H94" t="str">
        <f t="shared" si="7"/>
        <v>Remission</v>
      </c>
    </row>
    <row r="95" spans="1:8" x14ac:dyDescent="0.3">
      <c r="A95" s="8" t="s">
        <v>92</v>
      </c>
      <c r="B95" s="9">
        <v>0</v>
      </c>
      <c r="C95" s="9">
        <v>0</v>
      </c>
      <c r="D95">
        <f t="shared" si="4"/>
        <v>1</v>
      </c>
      <c r="E95">
        <f t="shared" si="5"/>
        <v>1</v>
      </c>
      <c r="F95">
        <f t="shared" si="6"/>
        <v>1</v>
      </c>
      <c r="H95" t="str">
        <f t="shared" si="7"/>
        <v>Remission</v>
      </c>
    </row>
    <row r="96" spans="1:8" x14ac:dyDescent="0.3">
      <c r="A96" s="8" t="s">
        <v>93</v>
      </c>
      <c r="B96" s="9">
        <v>2</v>
      </c>
      <c r="C96" s="9">
        <v>0</v>
      </c>
      <c r="D96">
        <f t="shared" si="4"/>
        <v>1</v>
      </c>
      <c r="E96">
        <f t="shared" si="5"/>
        <v>1</v>
      </c>
      <c r="F96">
        <f t="shared" si="6"/>
        <v>1</v>
      </c>
      <c r="H96" t="str">
        <f t="shared" si="7"/>
        <v>Remission</v>
      </c>
    </row>
    <row r="97" spans="1:8" x14ac:dyDescent="0.3">
      <c r="A97" s="8" t="s">
        <v>94</v>
      </c>
      <c r="B97" s="9">
        <v>0</v>
      </c>
      <c r="C97" s="9">
        <v>1</v>
      </c>
      <c r="D97">
        <f t="shared" si="4"/>
        <v>1</v>
      </c>
      <c r="E97">
        <f t="shared" si="5"/>
        <v>0</v>
      </c>
      <c r="F97">
        <f t="shared" si="6"/>
        <v>0</v>
      </c>
      <c r="H97" t="str">
        <f t="shared" si="7"/>
        <v>Remission</v>
      </c>
    </row>
    <row r="98" spans="1:8" x14ac:dyDescent="0.3">
      <c r="A98" s="8" t="s">
        <v>95</v>
      </c>
      <c r="B98" s="9">
        <v>8</v>
      </c>
      <c r="C98" s="9">
        <v>3</v>
      </c>
      <c r="D98">
        <f t="shared" si="4"/>
        <v>0</v>
      </c>
      <c r="E98">
        <f t="shared" si="5"/>
        <v>0</v>
      </c>
      <c r="F98">
        <f t="shared" si="6"/>
        <v>0</v>
      </c>
      <c r="H98" t="str">
        <f t="shared" si="7"/>
        <v>Active</v>
      </c>
    </row>
    <row r="99" spans="1:8" x14ac:dyDescent="0.3">
      <c r="A99" s="8" t="s">
        <v>96</v>
      </c>
      <c r="B99" s="9">
        <v>2</v>
      </c>
      <c r="C99" s="9">
        <v>0</v>
      </c>
      <c r="D99">
        <f t="shared" si="4"/>
        <v>1</v>
      </c>
      <c r="E99">
        <f t="shared" si="5"/>
        <v>1</v>
      </c>
      <c r="F99">
        <f t="shared" si="6"/>
        <v>1</v>
      </c>
      <c r="H99" t="str">
        <f t="shared" si="7"/>
        <v>Remission</v>
      </c>
    </row>
    <row r="100" spans="1:8" x14ac:dyDescent="0.3">
      <c r="A100" s="8" t="s">
        <v>97</v>
      </c>
      <c r="B100" s="9">
        <v>2</v>
      </c>
      <c r="C100" s="9">
        <v>0</v>
      </c>
      <c r="D100">
        <f t="shared" si="4"/>
        <v>1</v>
      </c>
      <c r="E100">
        <f t="shared" si="5"/>
        <v>1</v>
      </c>
      <c r="F100">
        <f t="shared" si="6"/>
        <v>1</v>
      </c>
      <c r="H100" t="str">
        <f t="shared" si="7"/>
        <v>Remission</v>
      </c>
    </row>
    <row r="101" spans="1:8" x14ac:dyDescent="0.3">
      <c r="A101" s="8" t="s">
        <v>98</v>
      </c>
      <c r="B101" s="9">
        <v>2</v>
      </c>
      <c r="C101" s="9">
        <v>0</v>
      </c>
      <c r="D101">
        <f t="shared" si="4"/>
        <v>1</v>
      </c>
      <c r="E101">
        <f t="shared" si="5"/>
        <v>1</v>
      </c>
      <c r="F101">
        <f t="shared" si="6"/>
        <v>1</v>
      </c>
      <c r="H101" t="str">
        <f t="shared" si="7"/>
        <v>Remission</v>
      </c>
    </row>
    <row r="102" spans="1:8" x14ac:dyDescent="0.3">
      <c r="A102" s="8" t="s">
        <v>99</v>
      </c>
      <c r="B102" s="9">
        <v>0</v>
      </c>
      <c r="C102" s="9">
        <v>0</v>
      </c>
      <c r="D102">
        <f t="shared" si="4"/>
        <v>1</v>
      </c>
      <c r="E102">
        <f t="shared" si="5"/>
        <v>1</v>
      </c>
      <c r="F102">
        <f t="shared" si="6"/>
        <v>1</v>
      </c>
      <c r="H102" t="str">
        <f t="shared" si="7"/>
        <v>Remission</v>
      </c>
    </row>
    <row r="103" spans="1:8" x14ac:dyDescent="0.3">
      <c r="A103" s="8" t="s">
        <v>100</v>
      </c>
      <c r="B103" s="9">
        <v>6</v>
      </c>
      <c r="C103" s="9">
        <v>3</v>
      </c>
      <c r="D103">
        <f t="shared" si="4"/>
        <v>0</v>
      </c>
      <c r="E103">
        <f t="shared" si="5"/>
        <v>0</v>
      </c>
      <c r="F103">
        <f t="shared" si="6"/>
        <v>0</v>
      </c>
      <c r="H103" t="str">
        <f t="shared" si="7"/>
        <v>Active</v>
      </c>
    </row>
    <row r="104" spans="1:8" x14ac:dyDescent="0.3">
      <c r="A104" s="8" t="s">
        <v>101</v>
      </c>
      <c r="B104" s="9">
        <v>0</v>
      </c>
      <c r="C104" s="9">
        <v>3</v>
      </c>
      <c r="D104">
        <f t="shared" si="4"/>
        <v>1</v>
      </c>
      <c r="E104">
        <f t="shared" si="5"/>
        <v>0</v>
      </c>
      <c r="F104">
        <f t="shared" si="6"/>
        <v>0</v>
      </c>
      <c r="H104" t="str">
        <f t="shared" si="7"/>
        <v>Remission</v>
      </c>
    </row>
    <row r="105" spans="1:8" x14ac:dyDescent="0.3">
      <c r="A105" s="8" t="s">
        <v>102</v>
      </c>
      <c r="B105" s="9">
        <v>0</v>
      </c>
      <c r="C105" s="9">
        <v>0</v>
      </c>
      <c r="D105">
        <f t="shared" si="4"/>
        <v>1</v>
      </c>
      <c r="E105">
        <f t="shared" si="5"/>
        <v>1</v>
      </c>
      <c r="F105">
        <f t="shared" si="6"/>
        <v>1</v>
      </c>
      <c r="H105" t="str">
        <f t="shared" si="7"/>
        <v>Remission</v>
      </c>
    </row>
    <row r="106" spans="1:8" x14ac:dyDescent="0.3">
      <c r="A106" s="8" t="s">
        <v>103</v>
      </c>
      <c r="B106" s="9">
        <v>7</v>
      </c>
      <c r="C106" s="9">
        <v>3</v>
      </c>
      <c r="D106">
        <f t="shared" si="4"/>
        <v>0</v>
      </c>
      <c r="E106">
        <f t="shared" si="5"/>
        <v>0</v>
      </c>
      <c r="F106">
        <f t="shared" si="6"/>
        <v>0</v>
      </c>
      <c r="H106" t="str">
        <f t="shared" si="7"/>
        <v>Active</v>
      </c>
    </row>
    <row r="107" spans="1:8" x14ac:dyDescent="0.3">
      <c r="A107" s="8" t="s">
        <v>104</v>
      </c>
      <c r="B107" s="9">
        <v>0</v>
      </c>
      <c r="C107" s="9">
        <v>0</v>
      </c>
      <c r="D107">
        <f t="shared" si="4"/>
        <v>1</v>
      </c>
      <c r="E107">
        <f t="shared" si="5"/>
        <v>1</v>
      </c>
      <c r="F107">
        <f t="shared" si="6"/>
        <v>1</v>
      </c>
      <c r="H107" t="str">
        <f t="shared" si="7"/>
        <v>Remission</v>
      </c>
    </row>
    <row r="108" spans="1:8" x14ac:dyDescent="0.3">
      <c r="A108" s="8" t="s">
        <v>105</v>
      </c>
      <c r="B108" s="9">
        <v>0</v>
      </c>
      <c r="C108" s="9">
        <v>1</v>
      </c>
      <c r="D108">
        <f t="shared" si="4"/>
        <v>1</v>
      </c>
      <c r="E108">
        <f t="shared" si="5"/>
        <v>0</v>
      </c>
      <c r="F108">
        <f t="shared" si="6"/>
        <v>0</v>
      </c>
      <c r="H108" t="str">
        <f t="shared" si="7"/>
        <v>Remission</v>
      </c>
    </row>
    <row r="109" spans="1:8" x14ac:dyDescent="0.3">
      <c r="A109" s="8" t="s">
        <v>106</v>
      </c>
      <c r="B109" s="9">
        <v>2</v>
      </c>
      <c r="C109" s="9">
        <v>0</v>
      </c>
      <c r="D109">
        <f t="shared" si="4"/>
        <v>1</v>
      </c>
      <c r="E109">
        <f t="shared" si="5"/>
        <v>1</v>
      </c>
      <c r="F109">
        <f t="shared" si="6"/>
        <v>1</v>
      </c>
      <c r="H109" t="str">
        <f t="shared" si="7"/>
        <v>Remission</v>
      </c>
    </row>
    <row r="110" spans="1:8" x14ac:dyDescent="0.3">
      <c r="A110" s="8" t="s">
        <v>107</v>
      </c>
      <c r="B110" s="9">
        <v>0</v>
      </c>
      <c r="C110" s="9">
        <v>0</v>
      </c>
      <c r="D110">
        <f t="shared" si="4"/>
        <v>1</v>
      </c>
      <c r="E110">
        <f t="shared" si="5"/>
        <v>1</v>
      </c>
      <c r="F110">
        <f t="shared" si="6"/>
        <v>1</v>
      </c>
      <c r="H110" t="str">
        <f t="shared" si="7"/>
        <v>Remission</v>
      </c>
    </row>
    <row r="111" spans="1:8" x14ac:dyDescent="0.3">
      <c r="A111" s="8" t="s">
        <v>108</v>
      </c>
      <c r="B111" s="9">
        <v>1</v>
      </c>
      <c r="C111" s="9">
        <v>0</v>
      </c>
      <c r="D111">
        <f t="shared" si="4"/>
        <v>1</v>
      </c>
      <c r="E111">
        <f t="shared" si="5"/>
        <v>1</v>
      </c>
      <c r="F111">
        <f t="shared" si="6"/>
        <v>1</v>
      </c>
      <c r="H111" t="str">
        <f t="shared" si="7"/>
        <v>Remission</v>
      </c>
    </row>
    <row r="112" spans="1:8" x14ac:dyDescent="0.3">
      <c r="A112" s="8" t="s">
        <v>109</v>
      </c>
      <c r="B112" s="9">
        <v>0</v>
      </c>
      <c r="C112" s="9">
        <v>0</v>
      </c>
      <c r="D112">
        <f t="shared" si="4"/>
        <v>1</v>
      </c>
      <c r="E112">
        <f t="shared" si="5"/>
        <v>1</v>
      </c>
      <c r="F112">
        <f t="shared" si="6"/>
        <v>1</v>
      </c>
      <c r="H112" t="str">
        <f t="shared" si="7"/>
        <v>Remission</v>
      </c>
    </row>
    <row r="113" spans="1:8" x14ac:dyDescent="0.3">
      <c r="A113" s="8" t="s">
        <v>110</v>
      </c>
      <c r="B113" s="9">
        <v>11</v>
      </c>
      <c r="C113" s="9">
        <v>4</v>
      </c>
      <c r="D113">
        <f t="shared" si="4"/>
        <v>0</v>
      </c>
      <c r="E113">
        <f t="shared" si="5"/>
        <v>0</v>
      </c>
      <c r="F113">
        <f t="shared" si="6"/>
        <v>0</v>
      </c>
      <c r="H113" t="str">
        <f t="shared" si="7"/>
        <v>Active</v>
      </c>
    </row>
    <row r="114" spans="1:8" x14ac:dyDescent="0.3">
      <c r="A114" s="8" t="s">
        <v>111</v>
      </c>
      <c r="B114" s="9">
        <v>0</v>
      </c>
      <c r="C114" s="9">
        <v>0</v>
      </c>
      <c r="D114">
        <f t="shared" si="4"/>
        <v>1</v>
      </c>
      <c r="E114">
        <f t="shared" si="5"/>
        <v>1</v>
      </c>
      <c r="F114">
        <f t="shared" si="6"/>
        <v>1</v>
      </c>
      <c r="H114" t="str">
        <f t="shared" si="7"/>
        <v>Remission</v>
      </c>
    </row>
    <row r="115" spans="1:8" x14ac:dyDescent="0.3">
      <c r="A115" s="8" t="s">
        <v>112</v>
      </c>
      <c r="B115" s="9">
        <v>12</v>
      </c>
      <c r="C115" s="9">
        <v>4</v>
      </c>
      <c r="D115">
        <f t="shared" si="4"/>
        <v>0</v>
      </c>
      <c r="E115">
        <f t="shared" si="5"/>
        <v>0</v>
      </c>
      <c r="F115">
        <f t="shared" si="6"/>
        <v>0</v>
      </c>
      <c r="H115" t="str">
        <f t="shared" si="7"/>
        <v>Active</v>
      </c>
    </row>
    <row r="116" spans="1:8" x14ac:dyDescent="0.3">
      <c r="A116" s="8" t="s">
        <v>113</v>
      </c>
      <c r="B116" s="9">
        <v>3</v>
      </c>
      <c r="C116" s="9">
        <v>0</v>
      </c>
      <c r="D116">
        <f t="shared" si="4"/>
        <v>1</v>
      </c>
      <c r="E116">
        <f t="shared" si="5"/>
        <v>1</v>
      </c>
      <c r="F116">
        <f t="shared" si="6"/>
        <v>1</v>
      </c>
      <c r="H116" t="str">
        <f t="shared" si="7"/>
        <v>Remission</v>
      </c>
    </row>
    <row r="117" spans="1:8" x14ac:dyDescent="0.3">
      <c r="A117" s="8" t="s">
        <v>114</v>
      </c>
      <c r="B117" s="9">
        <v>9</v>
      </c>
      <c r="C117" s="9">
        <v>0</v>
      </c>
      <c r="D117">
        <f t="shared" si="4"/>
        <v>0</v>
      </c>
      <c r="E117">
        <f t="shared" si="5"/>
        <v>1</v>
      </c>
      <c r="F117">
        <f t="shared" si="6"/>
        <v>0</v>
      </c>
      <c r="H117" t="str">
        <f t="shared" si="7"/>
        <v>Active</v>
      </c>
    </row>
    <row r="118" spans="1:8" x14ac:dyDescent="0.3">
      <c r="A118" s="8" t="s">
        <v>115</v>
      </c>
      <c r="B118" s="9">
        <v>0</v>
      </c>
      <c r="C118" s="9">
        <v>3</v>
      </c>
      <c r="D118">
        <f t="shared" si="4"/>
        <v>1</v>
      </c>
      <c r="E118">
        <f t="shared" si="5"/>
        <v>0</v>
      </c>
      <c r="F118">
        <f t="shared" si="6"/>
        <v>0</v>
      </c>
      <c r="H118" t="str">
        <f t="shared" si="7"/>
        <v>Remission</v>
      </c>
    </row>
    <row r="119" spans="1:8" x14ac:dyDescent="0.3">
      <c r="A119" s="8" t="s">
        <v>116</v>
      </c>
      <c r="B119" s="9">
        <v>0</v>
      </c>
      <c r="C119" s="9">
        <v>0</v>
      </c>
      <c r="D119">
        <f t="shared" si="4"/>
        <v>1</v>
      </c>
      <c r="E119">
        <f t="shared" si="5"/>
        <v>1</v>
      </c>
      <c r="F119">
        <f t="shared" si="6"/>
        <v>1</v>
      </c>
      <c r="H119" t="str">
        <f t="shared" si="7"/>
        <v>Remission</v>
      </c>
    </row>
    <row r="120" spans="1:8" x14ac:dyDescent="0.3">
      <c r="A120" s="8" t="s">
        <v>117</v>
      </c>
      <c r="B120" s="9">
        <v>0</v>
      </c>
      <c r="C120" s="9">
        <v>0</v>
      </c>
      <c r="D120">
        <f t="shared" si="4"/>
        <v>1</v>
      </c>
      <c r="E120">
        <f t="shared" si="5"/>
        <v>1</v>
      </c>
      <c r="F120">
        <f t="shared" si="6"/>
        <v>1</v>
      </c>
      <c r="H120" t="str">
        <f t="shared" si="7"/>
        <v>Remission</v>
      </c>
    </row>
    <row r="121" spans="1:8" x14ac:dyDescent="0.3">
      <c r="A121" s="8" t="s">
        <v>118</v>
      </c>
      <c r="B121" s="9">
        <v>5</v>
      </c>
      <c r="C121" s="9">
        <v>0</v>
      </c>
      <c r="D121">
        <f t="shared" si="4"/>
        <v>0</v>
      </c>
      <c r="E121">
        <f t="shared" si="5"/>
        <v>1</v>
      </c>
      <c r="F121">
        <f t="shared" si="6"/>
        <v>0</v>
      </c>
      <c r="H121" t="str">
        <f t="shared" si="7"/>
        <v>Active</v>
      </c>
    </row>
    <row r="122" spans="1:8" x14ac:dyDescent="0.3">
      <c r="A122" s="8" t="s">
        <v>119</v>
      </c>
      <c r="B122" s="9">
        <v>7</v>
      </c>
      <c r="C122" s="9">
        <v>4</v>
      </c>
      <c r="D122">
        <f t="shared" si="4"/>
        <v>0</v>
      </c>
      <c r="E122">
        <f t="shared" si="5"/>
        <v>0</v>
      </c>
      <c r="F122">
        <f t="shared" si="6"/>
        <v>0</v>
      </c>
      <c r="H122" t="str">
        <f t="shared" si="7"/>
        <v>Active</v>
      </c>
    </row>
    <row r="123" spans="1:8" x14ac:dyDescent="0.3">
      <c r="A123" s="8" t="s">
        <v>120</v>
      </c>
      <c r="B123" s="9">
        <v>4</v>
      </c>
      <c r="C123" s="9">
        <v>0</v>
      </c>
      <c r="D123">
        <f t="shared" si="4"/>
        <v>0</v>
      </c>
      <c r="E123">
        <f t="shared" si="5"/>
        <v>1</v>
      </c>
      <c r="F123">
        <f t="shared" si="6"/>
        <v>0</v>
      </c>
      <c r="H123" t="str">
        <f t="shared" si="7"/>
        <v>Active</v>
      </c>
    </row>
    <row r="124" spans="1:8" x14ac:dyDescent="0.3">
      <c r="A124" s="8" t="s">
        <v>121</v>
      </c>
      <c r="B124" s="9">
        <v>2</v>
      </c>
      <c r="C124" s="9">
        <v>0</v>
      </c>
      <c r="D124">
        <f t="shared" si="4"/>
        <v>1</v>
      </c>
      <c r="E124">
        <f t="shared" si="5"/>
        <v>1</v>
      </c>
      <c r="F124">
        <f t="shared" si="6"/>
        <v>1</v>
      </c>
      <c r="H124" t="str">
        <f t="shared" si="7"/>
        <v>Remission</v>
      </c>
    </row>
    <row r="125" spans="1:8" x14ac:dyDescent="0.3">
      <c r="A125" s="8" t="s">
        <v>122</v>
      </c>
      <c r="B125" s="9">
        <v>4</v>
      </c>
      <c r="C125" s="9">
        <v>0</v>
      </c>
      <c r="D125">
        <f t="shared" si="4"/>
        <v>0</v>
      </c>
      <c r="E125">
        <f t="shared" si="5"/>
        <v>1</v>
      </c>
      <c r="F125">
        <f t="shared" si="6"/>
        <v>0</v>
      </c>
      <c r="H125" t="str">
        <f t="shared" si="7"/>
        <v>Active</v>
      </c>
    </row>
    <row r="126" spans="1:8" x14ac:dyDescent="0.3">
      <c r="A126" s="8" t="s">
        <v>123</v>
      </c>
      <c r="B126" s="9">
        <v>6</v>
      </c>
      <c r="C126" s="9">
        <v>4</v>
      </c>
      <c r="D126">
        <f t="shared" si="4"/>
        <v>0</v>
      </c>
      <c r="E126">
        <f t="shared" si="5"/>
        <v>0</v>
      </c>
      <c r="F126">
        <f t="shared" si="6"/>
        <v>0</v>
      </c>
      <c r="H126" t="str">
        <f t="shared" si="7"/>
        <v>Active</v>
      </c>
    </row>
    <row r="127" spans="1:8" x14ac:dyDescent="0.3">
      <c r="A127" s="8" t="s">
        <v>124</v>
      </c>
      <c r="B127" s="9">
        <v>1</v>
      </c>
      <c r="C127" s="9">
        <v>0</v>
      </c>
      <c r="D127">
        <f t="shared" si="4"/>
        <v>1</v>
      </c>
      <c r="E127">
        <f t="shared" si="5"/>
        <v>1</v>
      </c>
      <c r="F127">
        <f t="shared" si="6"/>
        <v>1</v>
      </c>
      <c r="H127" t="str">
        <f t="shared" si="7"/>
        <v>Remission</v>
      </c>
    </row>
    <row r="128" spans="1:8" x14ac:dyDescent="0.3">
      <c r="A128" s="8" t="s">
        <v>125</v>
      </c>
      <c r="B128" s="9">
        <v>7</v>
      </c>
      <c r="C128" s="9">
        <v>4</v>
      </c>
      <c r="D128">
        <f t="shared" si="4"/>
        <v>0</v>
      </c>
      <c r="E128">
        <f t="shared" si="5"/>
        <v>0</v>
      </c>
      <c r="F128">
        <f t="shared" si="6"/>
        <v>0</v>
      </c>
      <c r="H128" t="str">
        <f t="shared" si="7"/>
        <v>Active</v>
      </c>
    </row>
    <row r="129" spans="1:8" x14ac:dyDescent="0.3">
      <c r="A129" s="8" t="s">
        <v>126</v>
      </c>
      <c r="B129" s="9">
        <v>0</v>
      </c>
      <c r="C129" s="9">
        <v>0</v>
      </c>
      <c r="D129">
        <f t="shared" si="4"/>
        <v>1</v>
      </c>
      <c r="E129">
        <f t="shared" si="5"/>
        <v>1</v>
      </c>
      <c r="F129">
        <f t="shared" si="6"/>
        <v>1</v>
      </c>
      <c r="H129" t="str">
        <f t="shared" si="7"/>
        <v>Remission</v>
      </c>
    </row>
    <row r="130" spans="1:8" x14ac:dyDescent="0.3">
      <c r="A130" s="8" t="s">
        <v>127</v>
      </c>
      <c r="B130" s="9">
        <v>10</v>
      </c>
      <c r="C130" s="9">
        <v>4</v>
      </c>
      <c r="D130">
        <f t="shared" si="4"/>
        <v>0</v>
      </c>
      <c r="E130">
        <f t="shared" si="5"/>
        <v>0</v>
      </c>
      <c r="F130">
        <f t="shared" si="6"/>
        <v>0</v>
      </c>
      <c r="H130" t="str">
        <f t="shared" si="7"/>
        <v>Active</v>
      </c>
    </row>
    <row r="131" spans="1:8" x14ac:dyDescent="0.3">
      <c r="A131" s="8" t="s">
        <v>128</v>
      </c>
      <c r="B131" s="9">
        <v>0</v>
      </c>
      <c r="C131" s="9">
        <v>0</v>
      </c>
      <c r="D131">
        <f t="shared" si="4"/>
        <v>1</v>
      </c>
      <c r="E131">
        <f t="shared" si="5"/>
        <v>1</v>
      </c>
      <c r="F131">
        <f t="shared" si="6"/>
        <v>1</v>
      </c>
      <c r="H131" t="str">
        <f t="shared" si="7"/>
        <v>Remission</v>
      </c>
    </row>
    <row r="132" spans="1:8" x14ac:dyDescent="0.3">
      <c r="A132" s="8" t="s">
        <v>129</v>
      </c>
      <c r="B132" s="9">
        <v>0</v>
      </c>
      <c r="C132" s="9">
        <v>0</v>
      </c>
      <c r="D132">
        <f t="shared" si="4"/>
        <v>1</v>
      </c>
      <c r="E132">
        <f t="shared" si="5"/>
        <v>1</v>
      </c>
      <c r="F132">
        <f t="shared" si="6"/>
        <v>1</v>
      </c>
      <c r="H132" t="str">
        <f t="shared" si="7"/>
        <v>Remission</v>
      </c>
    </row>
    <row r="133" spans="1:8" x14ac:dyDescent="0.3">
      <c r="A133" s="8" t="s">
        <v>130</v>
      </c>
      <c r="B133" s="9">
        <v>1</v>
      </c>
      <c r="C133" s="9">
        <v>0</v>
      </c>
      <c r="D133">
        <f t="shared" ref="D133:D196" si="8">IF(B133&lt;4,1,0)</f>
        <v>1</v>
      </c>
      <c r="E133">
        <f t="shared" ref="E133:E196" si="9">IF(C133=0,1,0)</f>
        <v>1</v>
      </c>
      <c r="F133">
        <f t="shared" ref="F133:F196" si="10">IF(AND(D133=1,E133=1),1,0)</f>
        <v>1</v>
      </c>
      <c r="H133" t="str">
        <f t="shared" ref="H133:H196" si="11">IF(B133&lt;4,"Remission","Active")</f>
        <v>Remission</v>
      </c>
    </row>
    <row r="134" spans="1:8" x14ac:dyDescent="0.3">
      <c r="A134" s="8" t="s">
        <v>131</v>
      </c>
      <c r="B134" s="9">
        <v>0</v>
      </c>
      <c r="C134" s="9">
        <v>0</v>
      </c>
      <c r="D134">
        <f t="shared" si="8"/>
        <v>1</v>
      </c>
      <c r="E134">
        <f t="shared" si="9"/>
        <v>1</v>
      </c>
      <c r="F134">
        <f t="shared" si="10"/>
        <v>1</v>
      </c>
      <c r="H134" t="str">
        <f t="shared" si="11"/>
        <v>Remission</v>
      </c>
    </row>
    <row r="135" spans="1:8" x14ac:dyDescent="0.3">
      <c r="A135" s="8" t="s">
        <v>132</v>
      </c>
      <c r="B135" s="9">
        <v>0</v>
      </c>
      <c r="C135" s="9">
        <v>0</v>
      </c>
      <c r="D135">
        <f t="shared" si="8"/>
        <v>1</v>
      </c>
      <c r="E135">
        <f t="shared" si="9"/>
        <v>1</v>
      </c>
      <c r="F135">
        <f t="shared" si="10"/>
        <v>1</v>
      </c>
      <c r="H135" t="str">
        <f t="shared" si="11"/>
        <v>Remission</v>
      </c>
    </row>
    <row r="136" spans="1:8" x14ac:dyDescent="0.3">
      <c r="A136" s="8" t="s">
        <v>133</v>
      </c>
      <c r="B136" s="9">
        <v>0</v>
      </c>
      <c r="C136" s="9">
        <v>0</v>
      </c>
      <c r="D136">
        <f t="shared" si="8"/>
        <v>1</v>
      </c>
      <c r="E136">
        <f t="shared" si="9"/>
        <v>1</v>
      </c>
      <c r="F136">
        <f t="shared" si="10"/>
        <v>1</v>
      </c>
      <c r="H136" t="str">
        <f t="shared" si="11"/>
        <v>Remission</v>
      </c>
    </row>
    <row r="137" spans="1:8" x14ac:dyDescent="0.3">
      <c r="A137" s="8" t="s">
        <v>134</v>
      </c>
      <c r="B137" s="9">
        <v>0</v>
      </c>
      <c r="C137" s="9">
        <v>0</v>
      </c>
      <c r="D137">
        <f t="shared" si="8"/>
        <v>1</v>
      </c>
      <c r="E137">
        <f t="shared" si="9"/>
        <v>1</v>
      </c>
      <c r="F137">
        <f t="shared" si="10"/>
        <v>1</v>
      </c>
      <c r="H137" t="str">
        <f t="shared" si="11"/>
        <v>Remission</v>
      </c>
    </row>
    <row r="138" spans="1:8" x14ac:dyDescent="0.3">
      <c r="A138" s="8" t="s">
        <v>135</v>
      </c>
      <c r="B138" s="9">
        <v>14</v>
      </c>
      <c r="C138" s="9">
        <v>4</v>
      </c>
      <c r="D138">
        <f t="shared" si="8"/>
        <v>0</v>
      </c>
      <c r="E138">
        <f t="shared" si="9"/>
        <v>0</v>
      </c>
      <c r="F138">
        <f t="shared" si="10"/>
        <v>0</v>
      </c>
      <c r="H138" t="str">
        <f t="shared" si="11"/>
        <v>Active</v>
      </c>
    </row>
    <row r="139" spans="1:8" x14ac:dyDescent="0.3">
      <c r="A139" s="8" t="s">
        <v>136</v>
      </c>
      <c r="B139" s="9">
        <v>1</v>
      </c>
      <c r="C139" s="9">
        <v>1</v>
      </c>
      <c r="D139">
        <f t="shared" si="8"/>
        <v>1</v>
      </c>
      <c r="E139">
        <f t="shared" si="9"/>
        <v>0</v>
      </c>
      <c r="F139">
        <f t="shared" si="10"/>
        <v>0</v>
      </c>
      <c r="H139" t="str">
        <f t="shared" si="11"/>
        <v>Remission</v>
      </c>
    </row>
    <row r="140" spans="1:8" x14ac:dyDescent="0.3">
      <c r="A140" s="8" t="s">
        <v>137</v>
      </c>
      <c r="B140" s="9">
        <v>1</v>
      </c>
      <c r="C140" s="9">
        <v>0</v>
      </c>
      <c r="D140">
        <f t="shared" si="8"/>
        <v>1</v>
      </c>
      <c r="E140">
        <f t="shared" si="9"/>
        <v>1</v>
      </c>
      <c r="F140">
        <f t="shared" si="10"/>
        <v>1</v>
      </c>
      <c r="H140" t="str">
        <f t="shared" si="11"/>
        <v>Remission</v>
      </c>
    </row>
    <row r="141" spans="1:8" x14ac:dyDescent="0.3">
      <c r="A141" s="8" t="s">
        <v>138</v>
      </c>
      <c r="B141" s="9">
        <v>13</v>
      </c>
      <c r="C141" s="9">
        <v>3</v>
      </c>
      <c r="D141">
        <f t="shared" si="8"/>
        <v>0</v>
      </c>
      <c r="E141">
        <f t="shared" si="9"/>
        <v>0</v>
      </c>
      <c r="F141">
        <f t="shared" si="10"/>
        <v>0</v>
      </c>
      <c r="H141" t="str">
        <f t="shared" si="11"/>
        <v>Active</v>
      </c>
    </row>
    <row r="142" spans="1:8" x14ac:dyDescent="0.3">
      <c r="A142" s="8" t="s">
        <v>139</v>
      </c>
      <c r="B142" s="9">
        <v>0</v>
      </c>
      <c r="C142" s="9">
        <v>2</v>
      </c>
      <c r="D142">
        <f t="shared" si="8"/>
        <v>1</v>
      </c>
      <c r="E142">
        <f t="shared" si="9"/>
        <v>0</v>
      </c>
      <c r="F142">
        <f t="shared" si="10"/>
        <v>0</v>
      </c>
      <c r="H142" t="str">
        <f t="shared" si="11"/>
        <v>Remission</v>
      </c>
    </row>
    <row r="143" spans="1:8" x14ac:dyDescent="0.3">
      <c r="A143" s="8" t="s">
        <v>140</v>
      </c>
      <c r="B143" s="9">
        <v>1</v>
      </c>
      <c r="C143" s="9">
        <v>4</v>
      </c>
      <c r="D143">
        <f t="shared" si="8"/>
        <v>1</v>
      </c>
      <c r="E143">
        <f t="shared" si="9"/>
        <v>0</v>
      </c>
      <c r="F143">
        <f t="shared" si="10"/>
        <v>0</v>
      </c>
      <c r="H143" t="str">
        <f t="shared" si="11"/>
        <v>Remission</v>
      </c>
    </row>
    <row r="144" spans="1:8" x14ac:dyDescent="0.3">
      <c r="A144" s="8" t="s">
        <v>141</v>
      </c>
      <c r="B144" s="9">
        <v>0</v>
      </c>
      <c r="C144" s="9">
        <v>0</v>
      </c>
      <c r="D144">
        <f t="shared" si="8"/>
        <v>1</v>
      </c>
      <c r="E144">
        <f t="shared" si="9"/>
        <v>1</v>
      </c>
      <c r="F144">
        <f t="shared" si="10"/>
        <v>1</v>
      </c>
      <c r="H144" t="str">
        <f t="shared" si="11"/>
        <v>Remission</v>
      </c>
    </row>
    <row r="145" spans="1:8" x14ac:dyDescent="0.3">
      <c r="A145" s="8" t="s">
        <v>142</v>
      </c>
      <c r="B145" s="9">
        <v>0</v>
      </c>
      <c r="C145" s="9">
        <v>0</v>
      </c>
      <c r="D145">
        <f t="shared" si="8"/>
        <v>1</v>
      </c>
      <c r="E145">
        <f t="shared" si="9"/>
        <v>1</v>
      </c>
      <c r="F145">
        <f t="shared" si="10"/>
        <v>1</v>
      </c>
      <c r="H145" t="str">
        <f t="shared" si="11"/>
        <v>Remission</v>
      </c>
    </row>
    <row r="146" spans="1:8" x14ac:dyDescent="0.3">
      <c r="A146" s="8" t="s">
        <v>143</v>
      </c>
      <c r="B146" s="9">
        <v>4</v>
      </c>
      <c r="C146" s="9">
        <v>4</v>
      </c>
      <c r="D146">
        <f t="shared" si="8"/>
        <v>0</v>
      </c>
      <c r="E146">
        <f t="shared" si="9"/>
        <v>0</v>
      </c>
      <c r="F146">
        <f t="shared" si="10"/>
        <v>0</v>
      </c>
      <c r="H146" t="str">
        <f t="shared" si="11"/>
        <v>Active</v>
      </c>
    </row>
    <row r="147" spans="1:8" x14ac:dyDescent="0.3">
      <c r="A147" s="8" t="s">
        <v>144</v>
      </c>
      <c r="B147" s="9">
        <v>3</v>
      </c>
      <c r="C147" s="9">
        <v>0</v>
      </c>
      <c r="D147">
        <f t="shared" si="8"/>
        <v>1</v>
      </c>
      <c r="E147">
        <f t="shared" si="9"/>
        <v>1</v>
      </c>
      <c r="F147">
        <f t="shared" si="10"/>
        <v>1</v>
      </c>
      <c r="H147" t="str">
        <f t="shared" si="11"/>
        <v>Remission</v>
      </c>
    </row>
    <row r="148" spans="1:8" x14ac:dyDescent="0.3">
      <c r="A148" s="8" t="s">
        <v>145</v>
      </c>
      <c r="B148" s="9">
        <v>0</v>
      </c>
      <c r="C148" s="9">
        <v>0</v>
      </c>
      <c r="D148">
        <f t="shared" si="8"/>
        <v>1</v>
      </c>
      <c r="E148">
        <f t="shared" si="9"/>
        <v>1</v>
      </c>
      <c r="F148">
        <f t="shared" si="10"/>
        <v>1</v>
      </c>
      <c r="H148" t="str">
        <f t="shared" si="11"/>
        <v>Remission</v>
      </c>
    </row>
    <row r="149" spans="1:8" x14ac:dyDescent="0.3">
      <c r="A149" s="8" t="s">
        <v>146</v>
      </c>
      <c r="B149" s="9">
        <v>0</v>
      </c>
      <c r="C149" s="9">
        <v>0</v>
      </c>
      <c r="D149">
        <f t="shared" si="8"/>
        <v>1</v>
      </c>
      <c r="E149">
        <f t="shared" si="9"/>
        <v>1</v>
      </c>
      <c r="F149">
        <f t="shared" si="10"/>
        <v>1</v>
      </c>
      <c r="H149" t="str">
        <f t="shared" si="11"/>
        <v>Remission</v>
      </c>
    </row>
    <row r="150" spans="1:8" x14ac:dyDescent="0.3">
      <c r="A150" s="8" t="s">
        <v>147</v>
      </c>
      <c r="B150" s="9">
        <v>0</v>
      </c>
      <c r="C150" s="9">
        <v>0</v>
      </c>
      <c r="D150">
        <f t="shared" si="8"/>
        <v>1</v>
      </c>
      <c r="E150">
        <f t="shared" si="9"/>
        <v>1</v>
      </c>
      <c r="F150">
        <f t="shared" si="10"/>
        <v>1</v>
      </c>
      <c r="H150" t="str">
        <f t="shared" si="11"/>
        <v>Remission</v>
      </c>
    </row>
    <row r="151" spans="1:8" x14ac:dyDescent="0.3">
      <c r="A151" s="8" t="s">
        <v>148</v>
      </c>
      <c r="B151" s="9">
        <v>0</v>
      </c>
      <c r="C151" s="9">
        <v>0</v>
      </c>
      <c r="D151">
        <f t="shared" si="8"/>
        <v>1</v>
      </c>
      <c r="E151">
        <f t="shared" si="9"/>
        <v>1</v>
      </c>
      <c r="F151">
        <f t="shared" si="10"/>
        <v>1</v>
      </c>
      <c r="H151" t="str">
        <f t="shared" si="11"/>
        <v>Remission</v>
      </c>
    </row>
    <row r="152" spans="1:8" x14ac:dyDescent="0.3">
      <c r="A152" s="8" t="s">
        <v>149</v>
      </c>
      <c r="B152" s="9">
        <v>2</v>
      </c>
      <c r="C152" s="9">
        <v>0</v>
      </c>
      <c r="D152">
        <f t="shared" si="8"/>
        <v>1</v>
      </c>
      <c r="E152">
        <f t="shared" si="9"/>
        <v>1</v>
      </c>
      <c r="F152">
        <f t="shared" si="10"/>
        <v>1</v>
      </c>
      <c r="H152" t="str">
        <f t="shared" si="11"/>
        <v>Remission</v>
      </c>
    </row>
    <row r="153" spans="1:8" x14ac:dyDescent="0.3">
      <c r="A153" s="8" t="s">
        <v>150</v>
      </c>
      <c r="B153" s="9">
        <v>1</v>
      </c>
      <c r="C153" s="9">
        <v>0</v>
      </c>
      <c r="D153">
        <f t="shared" si="8"/>
        <v>1</v>
      </c>
      <c r="E153">
        <f t="shared" si="9"/>
        <v>1</v>
      </c>
      <c r="F153">
        <f t="shared" si="10"/>
        <v>1</v>
      </c>
      <c r="H153" t="str">
        <f t="shared" si="11"/>
        <v>Remission</v>
      </c>
    </row>
    <row r="154" spans="1:8" x14ac:dyDescent="0.3">
      <c r="A154" s="8" t="s">
        <v>151</v>
      </c>
      <c r="B154" s="9">
        <v>1</v>
      </c>
      <c r="C154" s="9">
        <v>0</v>
      </c>
      <c r="D154">
        <f t="shared" si="8"/>
        <v>1</v>
      </c>
      <c r="E154">
        <f t="shared" si="9"/>
        <v>1</v>
      </c>
      <c r="F154">
        <f t="shared" si="10"/>
        <v>1</v>
      </c>
      <c r="H154" t="str">
        <f t="shared" si="11"/>
        <v>Remission</v>
      </c>
    </row>
    <row r="155" spans="1:8" x14ac:dyDescent="0.3">
      <c r="A155" s="8" t="s">
        <v>152</v>
      </c>
      <c r="B155" s="9">
        <v>0</v>
      </c>
      <c r="C155" s="9">
        <v>0</v>
      </c>
      <c r="D155">
        <f t="shared" si="8"/>
        <v>1</v>
      </c>
      <c r="E155">
        <f t="shared" si="9"/>
        <v>1</v>
      </c>
      <c r="F155">
        <f t="shared" si="10"/>
        <v>1</v>
      </c>
      <c r="H155" t="str">
        <f t="shared" si="11"/>
        <v>Remission</v>
      </c>
    </row>
    <row r="156" spans="1:8" x14ac:dyDescent="0.3">
      <c r="A156" s="8" t="s">
        <v>153</v>
      </c>
      <c r="B156" s="9">
        <v>0</v>
      </c>
      <c r="C156" s="9">
        <v>0</v>
      </c>
      <c r="D156">
        <f t="shared" si="8"/>
        <v>1</v>
      </c>
      <c r="E156">
        <f t="shared" si="9"/>
        <v>1</v>
      </c>
      <c r="F156">
        <f t="shared" si="10"/>
        <v>1</v>
      </c>
      <c r="H156" t="str">
        <f t="shared" si="11"/>
        <v>Remission</v>
      </c>
    </row>
    <row r="157" spans="1:8" x14ac:dyDescent="0.3">
      <c r="A157" s="8" t="s">
        <v>154</v>
      </c>
      <c r="B157" s="9">
        <v>0</v>
      </c>
      <c r="C157" s="9">
        <v>0</v>
      </c>
      <c r="D157">
        <f t="shared" si="8"/>
        <v>1</v>
      </c>
      <c r="E157">
        <f t="shared" si="9"/>
        <v>1</v>
      </c>
      <c r="F157">
        <f t="shared" si="10"/>
        <v>1</v>
      </c>
      <c r="H157" t="str">
        <f t="shared" si="11"/>
        <v>Remission</v>
      </c>
    </row>
    <row r="158" spans="1:8" x14ac:dyDescent="0.3">
      <c r="A158" s="8" t="s">
        <v>155</v>
      </c>
      <c r="B158" s="9">
        <v>0</v>
      </c>
      <c r="C158" s="9">
        <v>0</v>
      </c>
      <c r="D158">
        <f t="shared" si="8"/>
        <v>1</v>
      </c>
      <c r="E158">
        <f t="shared" si="9"/>
        <v>1</v>
      </c>
      <c r="F158">
        <f t="shared" si="10"/>
        <v>1</v>
      </c>
      <c r="H158" t="str">
        <f t="shared" si="11"/>
        <v>Remission</v>
      </c>
    </row>
    <row r="159" spans="1:8" x14ac:dyDescent="0.3">
      <c r="A159" s="8" t="s">
        <v>156</v>
      </c>
      <c r="B159" s="9">
        <v>2</v>
      </c>
      <c r="C159" s="9">
        <v>2</v>
      </c>
      <c r="D159">
        <f t="shared" si="8"/>
        <v>1</v>
      </c>
      <c r="E159">
        <f t="shared" si="9"/>
        <v>0</v>
      </c>
      <c r="F159">
        <f t="shared" si="10"/>
        <v>0</v>
      </c>
      <c r="H159" t="str">
        <f t="shared" si="11"/>
        <v>Remission</v>
      </c>
    </row>
    <row r="160" spans="1:8" x14ac:dyDescent="0.3">
      <c r="A160" s="8" t="s">
        <v>157</v>
      </c>
      <c r="B160" s="9">
        <v>0</v>
      </c>
      <c r="C160" s="9">
        <v>0</v>
      </c>
      <c r="D160">
        <f t="shared" si="8"/>
        <v>1</v>
      </c>
      <c r="E160">
        <f t="shared" si="9"/>
        <v>1</v>
      </c>
      <c r="F160">
        <f t="shared" si="10"/>
        <v>1</v>
      </c>
      <c r="H160" t="str">
        <f t="shared" si="11"/>
        <v>Remission</v>
      </c>
    </row>
    <row r="161" spans="1:8" x14ac:dyDescent="0.3">
      <c r="A161" s="8" t="s">
        <v>158</v>
      </c>
      <c r="B161" s="9">
        <v>0</v>
      </c>
      <c r="C161" s="9">
        <v>0</v>
      </c>
      <c r="D161">
        <f t="shared" si="8"/>
        <v>1</v>
      </c>
      <c r="E161">
        <f t="shared" si="9"/>
        <v>1</v>
      </c>
      <c r="F161">
        <f t="shared" si="10"/>
        <v>1</v>
      </c>
      <c r="H161" t="str">
        <f t="shared" si="11"/>
        <v>Remission</v>
      </c>
    </row>
    <row r="162" spans="1:8" x14ac:dyDescent="0.3">
      <c r="A162" s="8" t="s">
        <v>159</v>
      </c>
      <c r="B162" s="9">
        <v>1</v>
      </c>
      <c r="C162" s="9">
        <v>0</v>
      </c>
      <c r="D162">
        <f t="shared" si="8"/>
        <v>1</v>
      </c>
      <c r="E162">
        <f t="shared" si="9"/>
        <v>1</v>
      </c>
      <c r="F162">
        <f t="shared" si="10"/>
        <v>1</v>
      </c>
      <c r="H162" t="str">
        <f t="shared" si="11"/>
        <v>Remission</v>
      </c>
    </row>
    <row r="163" spans="1:8" x14ac:dyDescent="0.3">
      <c r="A163" s="8" t="s">
        <v>160</v>
      </c>
      <c r="B163" s="9">
        <v>0</v>
      </c>
      <c r="C163" s="9">
        <v>0</v>
      </c>
      <c r="D163">
        <f t="shared" si="8"/>
        <v>1</v>
      </c>
      <c r="E163">
        <f t="shared" si="9"/>
        <v>1</v>
      </c>
      <c r="F163">
        <f t="shared" si="10"/>
        <v>1</v>
      </c>
      <c r="H163" t="str">
        <f t="shared" si="11"/>
        <v>Remission</v>
      </c>
    </row>
    <row r="164" spans="1:8" x14ac:dyDescent="0.3">
      <c r="A164" s="8" t="s">
        <v>161</v>
      </c>
      <c r="B164" s="9">
        <v>0</v>
      </c>
      <c r="C164" s="9">
        <v>0</v>
      </c>
      <c r="D164">
        <f t="shared" si="8"/>
        <v>1</v>
      </c>
      <c r="E164">
        <f t="shared" si="9"/>
        <v>1</v>
      </c>
      <c r="F164">
        <f t="shared" si="10"/>
        <v>1</v>
      </c>
      <c r="H164" t="str">
        <f t="shared" si="11"/>
        <v>Remission</v>
      </c>
    </row>
    <row r="165" spans="1:8" x14ac:dyDescent="0.3">
      <c r="A165" s="8" t="s">
        <v>162</v>
      </c>
      <c r="B165" s="9">
        <v>0</v>
      </c>
      <c r="C165" s="9">
        <v>0</v>
      </c>
      <c r="D165">
        <f t="shared" si="8"/>
        <v>1</v>
      </c>
      <c r="E165">
        <f t="shared" si="9"/>
        <v>1</v>
      </c>
      <c r="F165">
        <f t="shared" si="10"/>
        <v>1</v>
      </c>
      <c r="H165" t="str">
        <f t="shared" si="11"/>
        <v>Remission</v>
      </c>
    </row>
    <row r="166" spans="1:8" x14ac:dyDescent="0.3">
      <c r="A166" s="8" t="s">
        <v>163</v>
      </c>
      <c r="B166" s="9">
        <v>2</v>
      </c>
      <c r="C166" s="9">
        <v>0</v>
      </c>
      <c r="D166">
        <f t="shared" si="8"/>
        <v>1</v>
      </c>
      <c r="E166">
        <f t="shared" si="9"/>
        <v>1</v>
      </c>
      <c r="F166">
        <f t="shared" si="10"/>
        <v>1</v>
      </c>
      <c r="H166" t="str">
        <f t="shared" si="11"/>
        <v>Remission</v>
      </c>
    </row>
    <row r="167" spans="1:8" x14ac:dyDescent="0.3">
      <c r="A167" s="8" t="s">
        <v>164</v>
      </c>
      <c r="B167" s="9">
        <v>0</v>
      </c>
      <c r="C167" s="9">
        <v>4</v>
      </c>
      <c r="D167">
        <f t="shared" si="8"/>
        <v>1</v>
      </c>
      <c r="E167">
        <f t="shared" si="9"/>
        <v>0</v>
      </c>
      <c r="F167">
        <f t="shared" si="10"/>
        <v>0</v>
      </c>
      <c r="H167" t="str">
        <f t="shared" si="11"/>
        <v>Remission</v>
      </c>
    </row>
    <row r="168" spans="1:8" x14ac:dyDescent="0.3">
      <c r="A168" s="8" t="s">
        <v>165</v>
      </c>
      <c r="B168" s="9">
        <v>0</v>
      </c>
      <c r="C168" s="9">
        <v>0</v>
      </c>
      <c r="D168">
        <f t="shared" si="8"/>
        <v>1</v>
      </c>
      <c r="E168">
        <f t="shared" si="9"/>
        <v>1</v>
      </c>
      <c r="F168">
        <f t="shared" si="10"/>
        <v>1</v>
      </c>
      <c r="H168" t="str">
        <f t="shared" si="11"/>
        <v>Remission</v>
      </c>
    </row>
    <row r="169" spans="1:8" x14ac:dyDescent="0.3">
      <c r="A169" s="8" t="s">
        <v>166</v>
      </c>
      <c r="B169" s="9">
        <v>0</v>
      </c>
      <c r="C169" s="9">
        <v>0</v>
      </c>
      <c r="D169">
        <f t="shared" si="8"/>
        <v>1</v>
      </c>
      <c r="E169">
        <f t="shared" si="9"/>
        <v>1</v>
      </c>
      <c r="F169">
        <f t="shared" si="10"/>
        <v>1</v>
      </c>
      <c r="H169" t="str">
        <f t="shared" si="11"/>
        <v>Remission</v>
      </c>
    </row>
    <row r="170" spans="1:8" x14ac:dyDescent="0.3">
      <c r="A170" s="8" t="s">
        <v>167</v>
      </c>
      <c r="B170" s="9">
        <v>1</v>
      </c>
      <c r="C170" s="9">
        <v>4</v>
      </c>
      <c r="D170">
        <f t="shared" si="8"/>
        <v>1</v>
      </c>
      <c r="E170">
        <f t="shared" si="9"/>
        <v>0</v>
      </c>
      <c r="F170">
        <f t="shared" si="10"/>
        <v>0</v>
      </c>
      <c r="H170" t="str">
        <f t="shared" si="11"/>
        <v>Remission</v>
      </c>
    </row>
    <row r="171" spans="1:8" x14ac:dyDescent="0.3">
      <c r="A171" s="8" t="s">
        <v>168</v>
      </c>
      <c r="B171" s="9">
        <v>1</v>
      </c>
      <c r="C171" s="9">
        <v>3</v>
      </c>
      <c r="D171">
        <f t="shared" si="8"/>
        <v>1</v>
      </c>
      <c r="E171">
        <f t="shared" si="9"/>
        <v>0</v>
      </c>
      <c r="F171">
        <f t="shared" si="10"/>
        <v>0</v>
      </c>
      <c r="H171" t="str">
        <f t="shared" si="11"/>
        <v>Remission</v>
      </c>
    </row>
    <row r="172" spans="1:8" x14ac:dyDescent="0.3">
      <c r="A172" s="8" t="s">
        <v>169</v>
      </c>
      <c r="B172" s="9">
        <v>6</v>
      </c>
      <c r="C172" s="9">
        <v>4</v>
      </c>
      <c r="D172">
        <f t="shared" si="8"/>
        <v>0</v>
      </c>
      <c r="E172">
        <f t="shared" si="9"/>
        <v>0</v>
      </c>
      <c r="F172">
        <f t="shared" si="10"/>
        <v>0</v>
      </c>
      <c r="H172" t="str">
        <f t="shared" si="11"/>
        <v>Active</v>
      </c>
    </row>
    <row r="173" spans="1:8" x14ac:dyDescent="0.3">
      <c r="A173" s="8" t="s">
        <v>170</v>
      </c>
      <c r="B173" s="9">
        <v>9</v>
      </c>
      <c r="C173" s="9">
        <v>4</v>
      </c>
      <c r="D173">
        <f t="shared" si="8"/>
        <v>0</v>
      </c>
      <c r="E173">
        <f t="shared" si="9"/>
        <v>0</v>
      </c>
      <c r="F173">
        <f t="shared" si="10"/>
        <v>0</v>
      </c>
      <c r="H173" t="str">
        <f t="shared" si="11"/>
        <v>Active</v>
      </c>
    </row>
    <row r="174" spans="1:8" x14ac:dyDescent="0.3">
      <c r="A174" s="8" t="s">
        <v>171</v>
      </c>
      <c r="B174" s="9">
        <v>0</v>
      </c>
      <c r="C174" s="9">
        <v>0</v>
      </c>
      <c r="D174">
        <f t="shared" si="8"/>
        <v>1</v>
      </c>
      <c r="E174">
        <f t="shared" si="9"/>
        <v>1</v>
      </c>
      <c r="F174">
        <f t="shared" si="10"/>
        <v>1</v>
      </c>
      <c r="H174" t="str">
        <f t="shared" si="11"/>
        <v>Remission</v>
      </c>
    </row>
    <row r="175" spans="1:8" x14ac:dyDescent="0.3">
      <c r="A175" s="8" t="s">
        <v>172</v>
      </c>
      <c r="B175" s="9">
        <v>0</v>
      </c>
      <c r="C175" s="9">
        <v>0</v>
      </c>
      <c r="D175">
        <f t="shared" si="8"/>
        <v>1</v>
      </c>
      <c r="E175">
        <f t="shared" si="9"/>
        <v>1</v>
      </c>
      <c r="F175">
        <f t="shared" si="10"/>
        <v>1</v>
      </c>
      <c r="H175" t="str">
        <f t="shared" si="11"/>
        <v>Remission</v>
      </c>
    </row>
    <row r="176" spans="1:8" x14ac:dyDescent="0.3">
      <c r="A176" s="8" t="s">
        <v>173</v>
      </c>
      <c r="B176" s="9">
        <v>15</v>
      </c>
      <c r="C176" s="9">
        <v>4</v>
      </c>
      <c r="D176">
        <f t="shared" si="8"/>
        <v>0</v>
      </c>
      <c r="E176">
        <f t="shared" si="9"/>
        <v>0</v>
      </c>
      <c r="F176">
        <f t="shared" si="10"/>
        <v>0</v>
      </c>
      <c r="H176" t="str">
        <f t="shared" si="11"/>
        <v>Active</v>
      </c>
    </row>
    <row r="177" spans="1:8" x14ac:dyDescent="0.3">
      <c r="A177" s="8" t="s">
        <v>174</v>
      </c>
      <c r="B177" s="9">
        <v>12</v>
      </c>
      <c r="C177" s="9">
        <v>2</v>
      </c>
      <c r="D177">
        <f t="shared" si="8"/>
        <v>0</v>
      </c>
      <c r="E177">
        <f t="shared" si="9"/>
        <v>0</v>
      </c>
      <c r="F177">
        <f t="shared" si="10"/>
        <v>0</v>
      </c>
      <c r="H177" t="str">
        <f t="shared" si="11"/>
        <v>Active</v>
      </c>
    </row>
    <row r="178" spans="1:8" x14ac:dyDescent="0.3">
      <c r="A178" s="8" t="s">
        <v>175</v>
      </c>
      <c r="B178" s="9">
        <v>0</v>
      </c>
      <c r="C178" s="9">
        <v>0</v>
      </c>
      <c r="D178">
        <f t="shared" si="8"/>
        <v>1</v>
      </c>
      <c r="E178">
        <f t="shared" si="9"/>
        <v>1</v>
      </c>
      <c r="F178">
        <f t="shared" si="10"/>
        <v>1</v>
      </c>
      <c r="H178" t="str">
        <f t="shared" si="11"/>
        <v>Remission</v>
      </c>
    </row>
    <row r="179" spans="1:8" x14ac:dyDescent="0.3">
      <c r="A179" s="8" t="s">
        <v>176</v>
      </c>
      <c r="B179" s="9">
        <v>6</v>
      </c>
      <c r="C179" s="9">
        <v>3</v>
      </c>
      <c r="D179">
        <f t="shared" si="8"/>
        <v>0</v>
      </c>
      <c r="E179">
        <f t="shared" si="9"/>
        <v>0</v>
      </c>
      <c r="F179">
        <f t="shared" si="10"/>
        <v>0</v>
      </c>
      <c r="H179" t="str">
        <f t="shared" si="11"/>
        <v>Active</v>
      </c>
    </row>
    <row r="180" spans="1:8" x14ac:dyDescent="0.3">
      <c r="A180" s="8" t="s">
        <v>177</v>
      </c>
      <c r="B180" s="9">
        <v>3</v>
      </c>
      <c r="C180" s="9">
        <v>0</v>
      </c>
      <c r="D180">
        <f t="shared" si="8"/>
        <v>1</v>
      </c>
      <c r="E180">
        <f t="shared" si="9"/>
        <v>1</v>
      </c>
      <c r="F180">
        <f t="shared" si="10"/>
        <v>1</v>
      </c>
      <c r="H180" t="str">
        <f t="shared" si="11"/>
        <v>Remission</v>
      </c>
    </row>
    <row r="181" spans="1:8" x14ac:dyDescent="0.3">
      <c r="A181" s="8" t="s">
        <v>178</v>
      </c>
      <c r="B181" s="9">
        <v>15</v>
      </c>
      <c r="C181" s="9">
        <v>2</v>
      </c>
      <c r="D181">
        <f t="shared" si="8"/>
        <v>0</v>
      </c>
      <c r="E181">
        <f t="shared" si="9"/>
        <v>0</v>
      </c>
      <c r="F181">
        <f t="shared" si="10"/>
        <v>0</v>
      </c>
      <c r="H181" t="str">
        <f t="shared" si="11"/>
        <v>Active</v>
      </c>
    </row>
    <row r="182" spans="1:8" x14ac:dyDescent="0.3">
      <c r="A182" s="8" t="s">
        <v>179</v>
      </c>
      <c r="B182" s="9">
        <v>10</v>
      </c>
      <c r="C182" s="9">
        <v>4</v>
      </c>
      <c r="D182">
        <f t="shared" si="8"/>
        <v>0</v>
      </c>
      <c r="E182">
        <f t="shared" si="9"/>
        <v>0</v>
      </c>
      <c r="F182">
        <f t="shared" si="10"/>
        <v>0</v>
      </c>
      <c r="H182" t="str">
        <f t="shared" si="11"/>
        <v>Active</v>
      </c>
    </row>
    <row r="183" spans="1:8" x14ac:dyDescent="0.3">
      <c r="A183" s="8" t="s">
        <v>180</v>
      </c>
      <c r="B183" s="9">
        <v>0</v>
      </c>
      <c r="C183" s="9">
        <v>0</v>
      </c>
      <c r="D183">
        <f t="shared" si="8"/>
        <v>1</v>
      </c>
      <c r="E183">
        <f t="shared" si="9"/>
        <v>1</v>
      </c>
      <c r="F183">
        <f t="shared" si="10"/>
        <v>1</v>
      </c>
      <c r="H183" t="str">
        <f t="shared" si="11"/>
        <v>Remission</v>
      </c>
    </row>
    <row r="184" spans="1:8" x14ac:dyDescent="0.3">
      <c r="A184" s="8" t="s">
        <v>181</v>
      </c>
      <c r="B184" s="9">
        <v>8</v>
      </c>
      <c r="C184" s="9">
        <v>4</v>
      </c>
      <c r="D184">
        <f t="shared" si="8"/>
        <v>0</v>
      </c>
      <c r="E184">
        <f t="shared" si="9"/>
        <v>0</v>
      </c>
      <c r="F184">
        <f t="shared" si="10"/>
        <v>0</v>
      </c>
      <c r="H184" t="str">
        <f t="shared" si="11"/>
        <v>Active</v>
      </c>
    </row>
    <row r="185" spans="1:8" x14ac:dyDescent="0.3">
      <c r="A185" s="8" t="s">
        <v>182</v>
      </c>
      <c r="B185" s="9">
        <v>0</v>
      </c>
      <c r="C185" s="9">
        <v>0</v>
      </c>
      <c r="D185">
        <f t="shared" si="8"/>
        <v>1</v>
      </c>
      <c r="E185">
        <f t="shared" si="9"/>
        <v>1</v>
      </c>
      <c r="F185">
        <f t="shared" si="10"/>
        <v>1</v>
      </c>
      <c r="H185" t="str">
        <f t="shared" si="11"/>
        <v>Remission</v>
      </c>
    </row>
    <row r="186" spans="1:8" x14ac:dyDescent="0.3">
      <c r="A186" s="8" t="s">
        <v>183</v>
      </c>
      <c r="B186" s="9">
        <v>1</v>
      </c>
      <c r="C186" s="9">
        <v>1</v>
      </c>
      <c r="D186">
        <f t="shared" si="8"/>
        <v>1</v>
      </c>
      <c r="E186">
        <f t="shared" si="9"/>
        <v>0</v>
      </c>
      <c r="F186">
        <f t="shared" si="10"/>
        <v>0</v>
      </c>
      <c r="H186" t="str">
        <f t="shared" si="11"/>
        <v>Remission</v>
      </c>
    </row>
    <row r="187" spans="1:8" x14ac:dyDescent="0.3">
      <c r="A187" s="8" t="s">
        <v>184</v>
      </c>
      <c r="B187" s="9">
        <v>4</v>
      </c>
      <c r="C187" s="9">
        <v>4</v>
      </c>
      <c r="D187">
        <f t="shared" si="8"/>
        <v>0</v>
      </c>
      <c r="E187">
        <f t="shared" si="9"/>
        <v>0</v>
      </c>
      <c r="F187">
        <f t="shared" si="10"/>
        <v>0</v>
      </c>
      <c r="H187" t="str">
        <f t="shared" si="11"/>
        <v>Active</v>
      </c>
    </row>
    <row r="188" spans="1:8" x14ac:dyDescent="0.3">
      <c r="A188" s="8" t="s">
        <v>185</v>
      </c>
      <c r="B188" s="9">
        <v>7</v>
      </c>
      <c r="C188" s="9">
        <v>4</v>
      </c>
      <c r="D188">
        <f t="shared" si="8"/>
        <v>0</v>
      </c>
      <c r="E188">
        <f t="shared" si="9"/>
        <v>0</v>
      </c>
      <c r="F188">
        <f t="shared" si="10"/>
        <v>0</v>
      </c>
      <c r="H188" t="str">
        <f t="shared" si="11"/>
        <v>Active</v>
      </c>
    </row>
    <row r="189" spans="1:8" x14ac:dyDescent="0.3">
      <c r="A189" s="8" t="s">
        <v>186</v>
      </c>
      <c r="B189" s="9">
        <v>8</v>
      </c>
      <c r="C189" s="9">
        <v>4</v>
      </c>
      <c r="D189">
        <f t="shared" si="8"/>
        <v>0</v>
      </c>
      <c r="E189">
        <f t="shared" si="9"/>
        <v>0</v>
      </c>
      <c r="F189">
        <f t="shared" si="10"/>
        <v>0</v>
      </c>
      <c r="H189" t="str">
        <f t="shared" si="11"/>
        <v>Active</v>
      </c>
    </row>
    <row r="190" spans="1:8" x14ac:dyDescent="0.3">
      <c r="A190" s="8" t="s">
        <v>187</v>
      </c>
      <c r="B190" s="9">
        <v>8</v>
      </c>
      <c r="C190" s="9">
        <v>2</v>
      </c>
      <c r="D190">
        <f t="shared" si="8"/>
        <v>0</v>
      </c>
      <c r="E190">
        <f t="shared" si="9"/>
        <v>0</v>
      </c>
      <c r="F190">
        <f t="shared" si="10"/>
        <v>0</v>
      </c>
      <c r="H190" t="str">
        <f t="shared" si="11"/>
        <v>Active</v>
      </c>
    </row>
    <row r="191" spans="1:8" x14ac:dyDescent="0.3">
      <c r="A191" s="8" t="s">
        <v>188</v>
      </c>
      <c r="B191" s="9">
        <v>14</v>
      </c>
      <c r="C191" s="9">
        <v>2</v>
      </c>
      <c r="D191">
        <f t="shared" si="8"/>
        <v>0</v>
      </c>
      <c r="E191">
        <f t="shared" si="9"/>
        <v>0</v>
      </c>
      <c r="F191">
        <f t="shared" si="10"/>
        <v>0</v>
      </c>
      <c r="H191" t="str">
        <f t="shared" si="11"/>
        <v>Active</v>
      </c>
    </row>
    <row r="192" spans="1:8" x14ac:dyDescent="0.3">
      <c r="A192" s="8" t="s">
        <v>189</v>
      </c>
      <c r="B192" s="9">
        <v>0</v>
      </c>
      <c r="C192" s="9">
        <v>0</v>
      </c>
      <c r="D192">
        <f t="shared" si="8"/>
        <v>1</v>
      </c>
      <c r="E192">
        <f t="shared" si="9"/>
        <v>1</v>
      </c>
      <c r="F192">
        <f t="shared" si="10"/>
        <v>1</v>
      </c>
      <c r="H192" t="str">
        <f t="shared" si="11"/>
        <v>Remission</v>
      </c>
    </row>
    <row r="193" spans="1:8" x14ac:dyDescent="0.3">
      <c r="A193" s="8" t="s">
        <v>190</v>
      </c>
      <c r="B193" s="9">
        <v>0</v>
      </c>
      <c r="C193" s="9">
        <v>0</v>
      </c>
      <c r="D193">
        <f t="shared" si="8"/>
        <v>1</v>
      </c>
      <c r="E193">
        <f t="shared" si="9"/>
        <v>1</v>
      </c>
      <c r="F193">
        <f t="shared" si="10"/>
        <v>1</v>
      </c>
      <c r="H193" t="str">
        <f t="shared" si="11"/>
        <v>Remission</v>
      </c>
    </row>
    <row r="194" spans="1:8" x14ac:dyDescent="0.3">
      <c r="A194" s="8" t="s">
        <v>191</v>
      </c>
      <c r="B194" s="9">
        <v>0</v>
      </c>
      <c r="C194" s="9">
        <v>0</v>
      </c>
      <c r="D194">
        <f t="shared" si="8"/>
        <v>1</v>
      </c>
      <c r="E194">
        <f t="shared" si="9"/>
        <v>1</v>
      </c>
      <c r="F194">
        <f t="shared" si="10"/>
        <v>1</v>
      </c>
      <c r="H194" t="str">
        <f t="shared" si="11"/>
        <v>Remission</v>
      </c>
    </row>
    <row r="195" spans="1:8" x14ac:dyDescent="0.3">
      <c r="A195" s="8" t="s">
        <v>192</v>
      </c>
      <c r="B195" s="9">
        <v>3</v>
      </c>
      <c r="C195" s="9">
        <v>0</v>
      </c>
      <c r="D195">
        <f t="shared" si="8"/>
        <v>1</v>
      </c>
      <c r="E195">
        <f t="shared" si="9"/>
        <v>1</v>
      </c>
      <c r="F195">
        <f t="shared" si="10"/>
        <v>1</v>
      </c>
      <c r="H195" t="str">
        <f t="shared" si="11"/>
        <v>Remission</v>
      </c>
    </row>
    <row r="196" spans="1:8" x14ac:dyDescent="0.3">
      <c r="A196" s="8" t="s">
        <v>193</v>
      </c>
      <c r="B196" s="9">
        <v>0</v>
      </c>
      <c r="C196" s="9">
        <v>0</v>
      </c>
      <c r="D196">
        <f t="shared" si="8"/>
        <v>1</v>
      </c>
      <c r="E196">
        <f t="shared" si="9"/>
        <v>1</v>
      </c>
      <c r="F196">
        <f t="shared" si="10"/>
        <v>1</v>
      </c>
      <c r="H196" t="str">
        <f t="shared" si="11"/>
        <v>Remission</v>
      </c>
    </row>
    <row r="197" spans="1:8" x14ac:dyDescent="0.3">
      <c r="A197" s="8" t="s">
        <v>194</v>
      </c>
      <c r="B197" s="9">
        <v>0</v>
      </c>
      <c r="C197" s="9">
        <v>0</v>
      </c>
      <c r="D197">
        <f t="shared" ref="D197:D209" si="12">IF(B197&lt;4,1,0)</f>
        <v>1</v>
      </c>
      <c r="E197">
        <f t="shared" ref="E197:E209" si="13">IF(C197=0,1,0)</f>
        <v>1</v>
      </c>
      <c r="F197">
        <f t="shared" ref="F197:F209" si="14">IF(AND(D197=1,E197=1),1,0)</f>
        <v>1</v>
      </c>
      <c r="H197" t="str">
        <f t="shared" ref="H197:H209" si="15">IF(B197&lt;4,"Remission","Active")</f>
        <v>Remission</v>
      </c>
    </row>
    <row r="198" spans="1:8" x14ac:dyDescent="0.3">
      <c r="A198" s="8" t="s">
        <v>195</v>
      </c>
      <c r="B198" s="9">
        <v>3</v>
      </c>
      <c r="C198" s="9">
        <v>4</v>
      </c>
      <c r="D198">
        <f t="shared" si="12"/>
        <v>1</v>
      </c>
      <c r="E198">
        <f t="shared" si="13"/>
        <v>0</v>
      </c>
      <c r="F198">
        <f t="shared" si="14"/>
        <v>0</v>
      </c>
      <c r="H198" t="str">
        <f t="shared" si="15"/>
        <v>Remission</v>
      </c>
    </row>
    <row r="199" spans="1:8" x14ac:dyDescent="0.3">
      <c r="A199" s="8" t="s">
        <v>196</v>
      </c>
      <c r="B199" s="9">
        <v>3</v>
      </c>
      <c r="C199" s="9">
        <v>3</v>
      </c>
      <c r="D199">
        <f t="shared" si="12"/>
        <v>1</v>
      </c>
      <c r="E199">
        <f t="shared" si="13"/>
        <v>0</v>
      </c>
      <c r="F199">
        <f t="shared" si="14"/>
        <v>0</v>
      </c>
      <c r="H199" t="str">
        <f t="shared" si="15"/>
        <v>Remission</v>
      </c>
    </row>
    <row r="200" spans="1:8" x14ac:dyDescent="0.3">
      <c r="A200" s="8" t="s">
        <v>197</v>
      </c>
      <c r="B200" s="9">
        <v>1</v>
      </c>
      <c r="C200" s="9">
        <v>2</v>
      </c>
      <c r="D200">
        <f t="shared" si="12"/>
        <v>1</v>
      </c>
      <c r="E200">
        <f t="shared" si="13"/>
        <v>0</v>
      </c>
      <c r="F200">
        <f t="shared" si="14"/>
        <v>0</v>
      </c>
      <c r="H200" t="str">
        <f t="shared" si="15"/>
        <v>Remission</v>
      </c>
    </row>
    <row r="201" spans="1:8" x14ac:dyDescent="0.3">
      <c r="A201" s="8" t="s">
        <v>198</v>
      </c>
      <c r="B201" s="9">
        <v>5</v>
      </c>
      <c r="C201" s="9">
        <v>1</v>
      </c>
      <c r="D201">
        <f t="shared" si="12"/>
        <v>0</v>
      </c>
      <c r="E201">
        <f t="shared" si="13"/>
        <v>0</v>
      </c>
      <c r="F201">
        <f t="shared" si="14"/>
        <v>0</v>
      </c>
      <c r="H201" t="str">
        <f t="shared" si="15"/>
        <v>Active</v>
      </c>
    </row>
    <row r="202" spans="1:8" x14ac:dyDescent="0.3">
      <c r="A202" s="8" t="s">
        <v>199</v>
      </c>
      <c r="B202" s="9">
        <v>9</v>
      </c>
      <c r="C202" s="9">
        <v>4</v>
      </c>
      <c r="D202">
        <f t="shared" si="12"/>
        <v>0</v>
      </c>
      <c r="E202">
        <f t="shared" si="13"/>
        <v>0</v>
      </c>
      <c r="F202">
        <f t="shared" si="14"/>
        <v>0</v>
      </c>
      <c r="H202" t="str">
        <f t="shared" si="15"/>
        <v>Active</v>
      </c>
    </row>
    <row r="203" spans="1:8" x14ac:dyDescent="0.3">
      <c r="A203" s="8" t="s">
        <v>200</v>
      </c>
      <c r="B203" s="9">
        <v>1</v>
      </c>
      <c r="C203" s="9">
        <v>3</v>
      </c>
      <c r="D203">
        <f t="shared" si="12"/>
        <v>1</v>
      </c>
      <c r="E203">
        <f t="shared" si="13"/>
        <v>0</v>
      </c>
      <c r="F203">
        <f t="shared" si="14"/>
        <v>0</v>
      </c>
      <c r="H203" t="str">
        <f t="shared" si="15"/>
        <v>Remission</v>
      </c>
    </row>
    <row r="204" spans="1:8" x14ac:dyDescent="0.3">
      <c r="A204" s="8" t="s">
        <v>201</v>
      </c>
      <c r="B204" s="9">
        <v>8</v>
      </c>
      <c r="C204" s="9">
        <v>4</v>
      </c>
      <c r="D204">
        <f t="shared" si="12"/>
        <v>0</v>
      </c>
      <c r="E204">
        <f t="shared" si="13"/>
        <v>0</v>
      </c>
      <c r="F204">
        <f t="shared" si="14"/>
        <v>0</v>
      </c>
      <c r="H204" t="str">
        <f t="shared" si="15"/>
        <v>Active</v>
      </c>
    </row>
    <row r="205" spans="1:8" x14ac:dyDescent="0.3">
      <c r="A205" s="8" t="s">
        <v>202</v>
      </c>
      <c r="B205" s="9">
        <v>0</v>
      </c>
      <c r="C205" s="9">
        <v>0</v>
      </c>
      <c r="D205">
        <f t="shared" si="12"/>
        <v>1</v>
      </c>
      <c r="E205">
        <f t="shared" si="13"/>
        <v>1</v>
      </c>
      <c r="F205">
        <f t="shared" si="14"/>
        <v>1</v>
      </c>
      <c r="H205" t="str">
        <f t="shared" si="15"/>
        <v>Remission</v>
      </c>
    </row>
    <row r="206" spans="1:8" x14ac:dyDescent="0.3">
      <c r="A206" s="8" t="s">
        <v>203</v>
      </c>
      <c r="B206" s="9">
        <v>1</v>
      </c>
      <c r="C206" s="9">
        <v>0</v>
      </c>
      <c r="D206">
        <f t="shared" si="12"/>
        <v>1</v>
      </c>
      <c r="E206">
        <f t="shared" si="13"/>
        <v>1</v>
      </c>
      <c r="F206">
        <f t="shared" si="14"/>
        <v>1</v>
      </c>
      <c r="H206" t="str">
        <f t="shared" si="15"/>
        <v>Remission</v>
      </c>
    </row>
    <row r="207" spans="1:8" x14ac:dyDescent="0.3">
      <c r="A207" s="8" t="s">
        <v>204</v>
      </c>
      <c r="B207" s="9">
        <v>1</v>
      </c>
      <c r="C207" s="9">
        <v>0</v>
      </c>
      <c r="D207">
        <f t="shared" si="12"/>
        <v>1</v>
      </c>
      <c r="E207">
        <f t="shared" si="13"/>
        <v>1</v>
      </c>
      <c r="F207">
        <f t="shared" si="14"/>
        <v>1</v>
      </c>
      <c r="H207" t="str">
        <f t="shared" si="15"/>
        <v>Remission</v>
      </c>
    </row>
    <row r="208" spans="1:8" x14ac:dyDescent="0.3">
      <c r="A208" s="8" t="s">
        <v>205</v>
      </c>
      <c r="B208" s="9">
        <v>2</v>
      </c>
      <c r="C208" s="9">
        <v>2</v>
      </c>
      <c r="D208">
        <f t="shared" si="12"/>
        <v>1</v>
      </c>
      <c r="E208">
        <f t="shared" si="13"/>
        <v>0</v>
      </c>
      <c r="F208">
        <f t="shared" si="14"/>
        <v>0</v>
      </c>
      <c r="H208" t="str">
        <f t="shared" si="15"/>
        <v>Remission</v>
      </c>
    </row>
    <row r="209" spans="1:8" x14ac:dyDescent="0.3">
      <c r="A209" s="8" t="s">
        <v>206</v>
      </c>
      <c r="B209" s="9">
        <v>15</v>
      </c>
      <c r="C209" s="9">
        <v>4</v>
      </c>
      <c r="D209">
        <f t="shared" si="12"/>
        <v>0</v>
      </c>
      <c r="E209">
        <f t="shared" si="13"/>
        <v>0</v>
      </c>
      <c r="F209">
        <f t="shared" si="14"/>
        <v>0</v>
      </c>
      <c r="H209" t="str">
        <f t="shared" si="15"/>
        <v>Active</v>
      </c>
    </row>
    <row r="210" spans="1:8" x14ac:dyDescent="0.3">
      <c r="A210" s="8" t="s">
        <v>1314</v>
      </c>
      <c r="B210" s="9">
        <v>15</v>
      </c>
      <c r="C210" s="9">
        <v>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Alejandra Garcia Yepes</cp:lastModifiedBy>
  <dcterms:modified xsi:type="dcterms:W3CDTF">2026-02-12T18:31:31Z</dcterms:modified>
</cp:coreProperties>
</file>